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E:\미니프로젝트\간트차트\"/>
    </mc:Choice>
  </mc:AlternateContent>
  <bookViews>
    <workbookView xWindow="0" yWindow="0" windowWidth="16080" windowHeight="741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1" l="1"/>
  <c r="E31" i="11"/>
  <c r="F30" i="11"/>
  <c r="E30" i="11"/>
  <c r="F29" i="11"/>
  <c r="F28" i="11"/>
  <c r="F27" i="11"/>
  <c r="E27" i="11"/>
  <c r="F25" i="11"/>
  <c r="E25" i="11"/>
  <c r="F24" i="11"/>
  <c r="F23" i="11"/>
  <c r="E23" i="11"/>
  <c r="F22" i="11"/>
  <c r="F21" i="11"/>
  <c r="E21" i="11"/>
  <c r="F19" i="11"/>
  <c r="F18" i="11"/>
  <c r="F17" i="11"/>
  <c r="F16" i="11"/>
  <c r="F15" i="11"/>
  <c r="F13" i="11"/>
  <c r="F12" i="11"/>
  <c r="F11" i="11"/>
  <c r="F10" i="11"/>
  <c r="F9" i="11"/>
  <c r="Q1" i="11" l="1"/>
  <c r="H7" i="11" l="1"/>
  <c r="E9" i="11" l="1"/>
  <c r="E22" i="11" l="1"/>
  <c r="E10" i="11"/>
  <c r="I5" i="11"/>
  <c r="H33" i="11"/>
  <c r="H32" i="11"/>
  <c r="H26" i="11"/>
  <c r="H20" i="11"/>
  <c r="H14" i="11"/>
  <c r="H8" i="11"/>
  <c r="H21" i="11" l="1"/>
  <c r="H22" i="11"/>
  <c r="E28" i="11"/>
  <c r="H9" i="11"/>
  <c r="E11" i="11"/>
  <c r="E13" i="11"/>
  <c r="E15" i="11" s="1"/>
  <c r="E16" i="11" s="1"/>
  <c r="I6" i="11"/>
  <c r="H31" i="11" l="1"/>
  <c r="E29" i="11"/>
  <c r="H30" i="11"/>
  <c r="H27" i="11"/>
  <c r="H25" i="11"/>
  <c r="H10" i="11"/>
  <c r="E24" i="11"/>
  <c r="H23" i="11"/>
  <c r="H15" i="11"/>
  <c r="H13" i="11"/>
  <c r="E12" i="11"/>
  <c r="J5" i="11"/>
  <c r="K5" i="11" s="1"/>
  <c r="L5" i="11" s="1"/>
  <c r="M5" i="11" s="1"/>
  <c r="N5" i="11" s="1"/>
  <c r="O5" i="11" s="1"/>
  <c r="P5" i="11" s="1"/>
  <c r="I4" i="11"/>
  <c r="H28" i="11" l="1"/>
  <c r="H29" i="11"/>
  <c r="H24" i="11"/>
  <c r="H16" i="11"/>
  <c r="E17" i="11"/>
  <c r="E18" i="11" s="1"/>
  <c r="E19" i="11" s="1"/>
  <c r="H11" i="11"/>
  <c r="H12" i="11"/>
  <c r="P4" i="11"/>
  <c r="Q5" i="11"/>
  <c r="R5" i="11" s="1"/>
  <c r="S5" i="11" s="1"/>
  <c r="T5" i="11" s="1"/>
  <c r="U5" i="11" s="1"/>
  <c r="V5" i="11" s="1"/>
  <c r="W5" i="11" s="1"/>
  <c r="J6" i="11"/>
  <c r="H19" i="11" l="1"/>
  <c r="H18" i="11"/>
  <c r="H17" i="11"/>
  <c r="W4" i="11"/>
  <c r="X5" i="11"/>
  <c r="Y5" i="11" s="1"/>
  <c r="Z5" i="11" s="1"/>
  <c r="AA5" i="11" s="1"/>
  <c r="AB5" i="11" s="1"/>
  <c r="AC5" i="11" s="1"/>
  <c r="K6" i="11"/>
  <c r="L6" i="11" l="1"/>
  <c r="M6" i="11" l="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<sst xmlns="http://schemas.openxmlformats.org/spreadsheetml/2006/main" count="71" uniqueCount="57">
  <si>
    <t>Insert new rows ABOVE this one</t>
  </si>
  <si>
    <t>Project Management Templates</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</si>
  <si>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</si>
  <si>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</si>
  <si>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</si>
  <si>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</si>
  <si>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</si>
  <si>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</si>
  <si>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</si>
  <si>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</si>
  <si>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</si>
  <si>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</si>
  <si>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</si>
  <si>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</si>
  <si>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</si>
  <si>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</si>
  <si>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Gokce Aslan</t>
  </si>
  <si>
    <t>Hayden Cook</t>
  </si>
  <si>
    <t>Jens Martensson</t>
  </si>
  <si>
    <t>Nuria Acevedo</t>
  </si>
  <si>
    <t>Olivia Wilson</t>
  </si>
  <si>
    <t>Project start:</t>
  </si>
  <si>
    <t>Display week:</t>
  </si>
  <si>
    <t>https://github.com/humanda-404error/human-da5-404ERROR</t>
    <phoneticPr fontId="29" type="noConversion"/>
  </si>
  <si>
    <r>
      <rPr>
        <b/>
        <sz val="14"/>
        <color theme="9"/>
        <rFont val="돋움"/>
        <family val="3"/>
        <charset val="129"/>
        <scheme val="minor"/>
      </rPr>
      <t>팀명</t>
    </r>
    <r>
      <rPr>
        <b/>
        <sz val="14"/>
        <color theme="9"/>
        <rFont val="Arial"/>
        <family val="2"/>
        <scheme val="minor"/>
      </rPr>
      <t>: 404ERROR</t>
    </r>
    <phoneticPr fontId="29" type="noConversion"/>
  </si>
  <si>
    <t>휴먼교육센터</t>
    <phoneticPr fontId="29" type="noConversion"/>
  </si>
  <si>
    <t>프로젝트 파일</t>
    <phoneticPr fontId="29" type="noConversion"/>
  </si>
  <si>
    <t>진행률</t>
    <phoneticPr fontId="29" type="noConversion"/>
  </si>
  <si>
    <t>시작일</t>
    <phoneticPr fontId="29" type="noConversion"/>
  </si>
  <si>
    <t>종료일</t>
    <phoneticPr fontId="29" type="noConversion"/>
  </si>
  <si>
    <t>작업명</t>
    <phoneticPr fontId="29" type="noConversion"/>
  </si>
  <si>
    <t>담당자</t>
    <phoneticPr fontId="29" type="noConversion"/>
  </si>
  <si>
    <r>
      <rPr>
        <b/>
        <sz val="12"/>
        <color theme="1"/>
        <rFont val="돋움"/>
        <family val="3"/>
        <charset val="129"/>
        <scheme val="minor"/>
      </rPr>
      <t>착수</t>
    </r>
    <r>
      <rPr>
        <b/>
        <sz val="12"/>
        <color theme="1"/>
        <rFont val="Arial"/>
        <family val="2"/>
        <scheme val="minor"/>
      </rPr>
      <t>/</t>
    </r>
    <r>
      <rPr>
        <b/>
        <sz val="12"/>
        <color theme="1"/>
        <rFont val="돋움"/>
        <family val="3"/>
        <charset val="129"/>
        <scheme val="minor"/>
      </rPr>
      <t>시작</t>
    </r>
    <r>
      <rPr>
        <b/>
        <sz val="12"/>
        <color theme="1"/>
        <rFont val="Arial"/>
        <family val="2"/>
        <scheme val="minor"/>
      </rPr>
      <t xml:space="preserve"> </t>
    </r>
    <r>
      <rPr>
        <b/>
        <sz val="12"/>
        <color theme="1"/>
        <rFont val="돋움"/>
        <family val="3"/>
        <charset val="129"/>
        <scheme val="minor"/>
      </rPr>
      <t>단계</t>
    </r>
    <phoneticPr fontId="29" type="noConversion"/>
  </si>
  <si>
    <t>계획 수립</t>
    <phoneticPr fontId="29" type="noConversion"/>
  </si>
  <si>
    <r>
      <rPr>
        <b/>
        <sz val="12"/>
        <color theme="1"/>
        <rFont val="돋움"/>
        <family val="3"/>
        <charset val="129"/>
        <scheme val="minor"/>
      </rPr>
      <t>실행</t>
    </r>
    <r>
      <rPr>
        <b/>
        <sz val="12"/>
        <color theme="1"/>
        <rFont val="Arial"/>
        <family val="2"/>
        <scheme val="minor"/>
      </rPr>
      <t xml:space="preserve"> </t>
    </r>
    <r>
      <rPr>
        <b/>
        <sz val="12"/>
        <color theme="1"/>
        <rFont val="돋움"/>
        <family val="3"/>
        <charset val="129"/>
        <scheme val="minor"/>
      </rPr>
      <t>단계</t>
    </r>
    <phoneticPr fontId="29" type="noConversion"/>
  </si>
  <si>
    <t>평가 및 종료</t>
    <phoneticPr fontId="29" type="noConversion"/>
  </si>
  <si>
    <r>
      <t>2</t>
    </r>
    <r>
      <rPr>
        <b/>
        <sz val="16"/>
        <color theme="9"/>
        <rFont val="돋움"/>
        <family val="3"/>
        <charset val="129"/>
        <scheme val="minor"/>
      </rPr>
      <t>조</t>
    </r>
    <r>
      <rPr>
        <b/>
        <sz val="16"/>
        <color theme="9"/>
        <rFont val="Arial"/>
        <family val="2"/>
        <scheme val="minor"/>
      </rPr>
      <t>(</t>
    </r>
    <r>
      <rPr>
        <b/>
        <sz val="16"/>
        <color theme="9"/>
        <rFont val="돋움"/>
        <family val="3"/>
        <charset val="129"/>
        <scheme val="minor"/>
      </rPr>
      <t>소형섭</t>
    </r>
    <r>
      <rPr>
        <b/>
        <sz val="16"/>
        <color theme="9"/>
        <rFont val="Arial"/>
        <family val="2"/>
        <scheme val="minor"/>
      </rPr>
      <t>,</t>
    </r>
    <r>
      <rPr>
        <b/>
        <sz val="16"/>
        <color theme="9"/>
        <rFont val="돋움"/>
        <family val="3"/>
        <charset val="129"/>
        <scheme val="minor"/>
      </rPr>
      <t>이훈기</t>
    </r>
    <r>
      <rPr>
        <b/>
        <sz val="16"/>
        <color theme="9"/>
        <rFont val="Arial"/>
        <family val="2"/>
        <scheme val="minor"/>
      </rPr>
      <t>,</t>
    </r>
    <r>
      <rPr>
        <b/>
        <sz val="16"/>
        <color theme="9"/>
        <rFont val="돋움"/>
        <family val="3"/>
        <charset val="129"/>
        <scheme val="minor"/>
      </rPr>
      <t>정상철</t>
    </r>
    <r>
      <rPr>
        <b/>
        <sz val="16"/>
        <color theme="9"/>
        <rFont val="Arial"/>
        <family val="2"/>
        <scheme val="minor"/>
      </rPr>
      <t>)</t>
    </r>
    <phoneticPr fontId="29" type="noConversion"/>
  </si>
  <si>
    <r>
      <rPr>
        <sz val="10"/>
        <color theme="1"/>
        <rFont val="돋움"/>
        <family val="3"/>
        <charset val="129"/>
        <scheme val="minor"/>
      </rPr>
      <t>프로젝트</t>
    </r>
    <r>
      <rPr>
        <sz val="10"/>
        <color theme="1"/>
        <rFont val="Arial"/>
        <family val="2"/>
        <scheme val="minor"/>
      </rPr>
      <t xml:space="preserve"> </t>
    </r>
    <r>
      <rPr>
        <sz val="10"/>
        <color theme="1"/>
        <rFont val="돋움"/>
        <family val="3"/>
        <charset val="129"/>
        <scheme val="minor"/>
      </rPr>
      <t>목표</t>
    </r>
    <r>
      <rPr>
        <sz val="10"/>
        <color theme="1"/>
        <rFont val="Arial"/>
        <family val="2"/>
        <scheme val="minor"/>
      </rPr>
      <t xml:space="preserve"> </t>
    </r>
    <r>
      <rPr>
        <sz val="10"/>
        <color theme="1"/>
        <rFont val="돋움"/>
        <family val="3"/>
        <charset val="129"/>
        <scheme val="minor"/>
      </rPr>
      <t>정의</t>
    </r>
    <phoneticPr fontId="29" type="noConversion"/>
  </si>
  <si>
    <r>
      <rPr>
        <sz val="10"/>
        <color theme="1"/>
        <rFont val="돋움"/>
        <family val="3"/>
        <charset val="129"/>
        <scheme val="minor"/>
      </rPr>
      <t>역할</t>
    </r>
    <r>
      <rPr>
        <sz val="10"/>
        <color theme="1"/>
        <rFont val="Arial"/>
        <family val="2"/>
        <scheme val="minor"/>
      </rPr>
      <t xml:space="preserve"> </t>
    </r>
    <r>
      <rPr>
        <sz val="10"/>
        <color theme="1"/>
        <rFont val="돋움"/>
        <family val="3"/>
        <charset val="129"/>
        <scheme val="minor"/>
      </rPr>
      <t>분담</t>
    </r>
    <phoneticPr fontId="29" type="noConversion"/>
  </si>
  <si>
    <r>
      <rPr>
        <sz val="10"/>
        <color theme="1"/>
        <rFont val="돋움"/>
        <family val="3"/>
        <charset val="129"/>
        <scheme val="minor"/>
      </rPr>
      <t>기술</t>
    </r>
    <r>
      <rPr>
        <sz val="10"/>
        <color theme="1"/>
        <rFont val="Arial"/>
        <family val="2"/>
        <scheme val="minor"/>
      </rPr>
      <t xml:space="preserve"> </t>
    </r>
    <r>
      <rPr>
        <sz val="10"/>
        <color theme="1"/>
        <rFont val="돋움"/>
        <family val="3"/>
        <charset val="129"/>
        <scheme val="minor"/>
      </rPr>
      <t>스택</t>
    </r>
    <r>
      <rPr>
        <sz val="10"/>
        <color theme="1"/>
        <rFont val="Arial"/>
        <family val="2"/>
        <scheme val="minor"/>
      </rPr>
      <t xml:space="preserve"> </t>
    </r>
    <r>
      <rPr>
        <sz val="10"/>
        <color theme="1"/>
        <rFont val="돋움"/>
        <family val="3"/>
        <charset val="129"/>
        <scheme val="minor"/>
      </rPr>
      <t>선정</t>
    </r>
    <phoneticPr fontId="29" type="noConversion"/>
  </si>
  <si>
    <r>
      <rPr>
        <sz val="10"/>
        <color theme="1"/>
        <rFont val="돋움"/>
        <family val="3"/>
        <charset val="129"/>
        <scheme val="minor"/>
      </rPr>
      <t>요구사항</t>
    </r>
    <r>
      <rPr>
        <sz val="10"/>
        <color theme="1"/>
        <rFont val="Arial"/>
        <family val="2"/>
        <scheme val="minor"/>
      </rPr>
      <t xml:space="preserve"> </t>
    </r>
    <r>
      <rPr>
        <sz val="10"/>
        <color theme="1"/>
        <rFont val="돋움"/>
        <family val="3"/>
        <charset val="129"/>
        <scheme val="minor"/>
      </rPr>
      <t>수집</t>
    </r>
    <r>
      <rPr>
        <sz val="10"/>
        <color theme="1"/>
        <rFont val="Arial"/>
        <family val="2"/>
        <scheme val="minor"/>
      </rPr>
      <t xml:space="preserve"> </t>
    </r>
    <r>
      <rPr>
        <sz val="10"/>
        <color theme="1"/>
        <rFont val="돋움"/>
        <family val="3"/>
        <charset val="129"/>
        <scheme val="minor"/>
      </rPr>
      <t>및</t>
    </r>
    <r>
      <rPr>
        <sz val="10"/>
        <color theme="1"/>
        <rFont val="Arial"/>
        <family val="2"/>
        <scheme val="minor"/>
      </rPr>
      <t xml:space="preserve"> </t>
    </r>
    <r>
      <rPr>
        <sz val="10"/>
        <color theme="1"/>
        <rFont val="돋움"/>
        <family val="3"/>
        <charset val="129"/>
        <scheme val="minor"/>
      </rPr>
      <t>분석</t>
    </r>
    <phoneticPr fontId="29" type="noConversion"/>
  </si>
  <si>
    <r>
      <t xml:space="preserve">GitHub </t>
    </r>
    <r>
      <rPr>
        <sz val="10"/>
        <color theme="1"/>
        <rFont val="돋움"/>
        <family val="3"/>
        <charset val="129"/>
        <scheme val="minor"/>
      </rPr>
      <t>및</t>
    </r>
    <r>
      <rPr>
        <sz val="10"/>
        <color theme="1"/>
        <rFont val="Arial"/>
        <family val="2"/>
        <scheme val="minor"/>
      </rPr>
      <t xml:space="preserve"> </t>
    </r>
    <r>
      <rPr>
        <sz val="10"/>
        <color theme="1"/>
        <rFont val="돋움"/>
        <family val="3"/>
        <charset val="129"/>
        <scheme val="minor"/>
      </rPr>
      <t>프로젝트</t>
    </r>
    <r>
      <rPr>
        <sz val="10"/>
        <color theme="1"/>
        <rFont val="Arial"/>
        <family val="2"/>
        <scheme val="minor"/>
      </rPr>
      <t xml:space="preserve"> </t>
    </r>
    <r>
      <rPr>
        <sz val="10"/>
        <color theme="1"/>
        <rFont val="돋움"/>
        <family val="3"/>
        <charset val="129"/>
        <scheme val="minor"/>
      </rPr>
      <t>구조</t>
    </r>
    <phoneticPr fontId="29" type="noConversion"/>
  </si>
  <si>
    <r>
      <rPr>
        <sz val="10"/>
        <color theme="1"/>
        <rFont val="돋움"/>
        <family val="3"/>
        <charset val="129"/>
        <scheme val="minor"/>
      </rPr>
      <t>화면</t>
    </r>
    <r>
      <rPr>
        <sz val="10"/>
        <color theme="1"/>
        <rFont val="Arial"/>
        <family val="2"/>
        <scheme val="minor"/>
      </rPr>
      <t xml:space="preserve"> </t>
    </r>
    <r>
      <rPr>
        <sz val="10"/>
        <color theme="1"/>
        <rFont val="돋움"/>
        <family val="3"/>
        <charset val="129"/>
        <scheme val="minor"/>
      </rPr>
      <t>설계</t>
    </r>
    <phoneticPr fontId="29" type="noConversion"/>
  </si>
  <si>
    <r>
      <t xml:space="preserve">DB </t>
    </r>
    <r>
      <rPr>
        <sz val="10"/>
        <color theme="1"/>
        <rFont val="돋움"/>
        <family val="3"/>
        <charset val="129"/>
        <scheme val="minor"/>
      </rPr>
      <t>설계</t>
    </r>
    <phoneticPr fontId="29" type="noConversion"/>
  </si>
  <si>
    <r>
      <rPr>
        <sz val="10"/>
        <color theme="1"/>
        <rFont val="돋움"/>
        <family val="3"/>
        <charset val="129"/>
        <scheme val="minor"/>
      </rPr>
      <t>간트차트</t>
    </r>
    <r>
      <rPr>
        <sz val="10"/>
        <color theme="1"/>
        <rFont val="Arial"/>
        <family val="2"/>
        <scheme val="minor"/>
      </rPr>
      <t xml:space="preserve"> </t>
    </r>
    <r>
      <rPr>
        <sz val="10"/>
        <color theme="1"/>
        <rFont val="돋움"/>
        <family val="3"/>
        <charset val="129"/>
        <scheme val="minor"/>
      </rPr>
      <t>작성</t>
    </r>
    <phoneticPr fontId="29" type="noConversion"/>
  </si>
  <si>
    <t>작업 분배 및 우선순위</t>
    <phoneticPr fontId="29" type="noConversion"/>
  </si>
  <si>
    <r>
      <rPr>
        <sz val="10"/>
        <color theme="1"/>
        <rFont val="돋움"/>
        <family val="3"/>
        <charset val="129"/>
        <scheme val="minor"/>
      </rPr>
      <t>초기</t>
    </r>
    <r>
      <rPr>
        <sz val="10"/>
        <color theme="1"/>
        <rFont val="Arial"/>
        <family val="2"/>
        <scheme val="minor"/>
      </rPr>
      <t xml:space="preserve"> </t>
    </r>
    <r>
      <rPr>
        <sz val="10"/>
        <color theme="1"/>
        <rFont val="돋움"/>
        <family val="3"/>
        <charset val="129"/>
        <scheme val="minor"/>
      </rPr>
      <t>템플릿</t>
    </r>
    <r>
      <rPr>
        <sz val="10"/>
        <color theme="1"/>
        <rFont val="Arial"/>
        <family val="2"/>
        <scheme val="minor"/>
      </rPr>
      <t xml:space="preserve"> </t>
    </r>
    <r>
      <rPr>
        <sz val="10"/>
        <color theme="1"/>
        <rFont val="돋움"/>
        <family val="3"/>
        <charset val="129"/>
        <scheme val="minor"/>
      </rPr>
      <t>개발</t>
    </r>
    <phoneticPr fontId="29" type="noConversion"/>
  </si>
  <si>
    <t>기능 개발</t>
    <phoneticPr fontId="29" type="noConversion"/>
  </si>
  <si>
    <r>
      <t xml:space="preserve">DB </t>
    </r>
    <r>
      <rPr>
        <sz val="10"/>
        <color theme="1"/>
        <rFont val="돋움"/>
        <family val="3"/>
        <charset val="129"/>
        <scheme val="minor"/>
      </rPr>
      <t>연동</t>
    </r>
    <phoneticPr fontId="29" type="noConversion"/>
  </si>
  <si>
    <r>
      <rPr>
        <sz val="10"/>
        <color theme="1"/>
        <rFont val="돋움"/>
        <family val="3"/>
        <charset val="129"/>
        <scheme val="minor"/>
      </rPr>
      <t>정적</t>
    </r>
    <r>
      <rPr>
        <sz val="10"/>
        <color theme="1"/>
        <rFont val="Arial"/>
        <family val="2"/>
        <scheme val="minor"/>
      </rPr>
      <t xml:space="preserve"> </t>
    </r>
    <r>
      <rPr>
        <sz val="10"/>
        <color theme="1"/>
        <rFont val="돋움"/>
        <family val="3"/>
        <charset val="129"/>
        <scheme val="minor"/>
      </rPr>
      <t>자원</t>
    </r>
    <r>
      <rPr>
        <sz val="10"/>
        <color theme="1"/>
        <rFont val="Arial"/>
        <family val="2"/>
        <scheme val="minor"/>
      </rPr>
      <t xml:space="preserve"> </t>
    </r>
    <r>
      <rPr>
        <sz val="10"/>
        <color theme="1"/>
        <rFont val="돋움"/>
        <family val="3"/>
        <charset val="129"/>
        <scheme val="minor"/>
      </rPr>
      <t>관리</t>
    </r>
    <phoneticPr fontId="29" type="noConversion"/>
  </si>
  <si>
    <r>
      <rPr>
        <sz val="10"/>
        <color theme="1"/>
        <rFont val="돋움"/>
        <family val="3"/>
        <charset val="129"/>
        <scheme val="minor"/>
      </rPr>
      <t>유닛</t>
    </r>
    <r>
      <rPr>
        <sz val="10"/>
        <color theme="1"/>
        <rFont val="Arial"/>
        <family val="2"/>
        <scheme val="minor"/>
      </rPr>
      <t xml:space="preserve"> </t>
    </r>
    <r>
      <rPr>
        <sz val="10"/>
        <color theme="1"/>
        <rFont val="돋움"/>
        <family val="3"/>
        <charset val="129"/>
        <scheme val="minor"/>
      </rPr>
      <t>테스트</t>
    </r>
    <phoneticPr fontId="29" type="noConversion"/>
  </si>
  <si>
    <r>
      <t>Git</t>
    </r>
    <r>
      <rPr>
        <sz val="10"/>
        <color theme="1"/>
        <rFont val="돋움"/>
        <family val="3"/>
        <charset val="129"/>
        <scheme val="minor"/>
      </rPr>
      <t>커밋</t>
    </r>
    <r>
      <rPr>
        <sz val="10"/>
        <color theme="1"/>
        <rFont val="Arial"/>
        <family val="2"/>
        <scheme val="minor"/>
      </rPr>
      <t xml:space="preserve"> </t>
    </r>
    <r>
      <rPr>
        <sz val="10"/>
        <color theme="1"/>
        <rFont val="돋움"/>
        <family val="3"/>
        <charset val="129"/>
        <scheme val="minor"/>
      </rPr>
      <t>및</t>
    </r>
    <r>
      <rPr>
        <sz val="10"/>
        <color theme="1"/>
        <rFont val="Arial"/>
        <family val="2"/>
        <scheme val="minor"/>
      </rPr>
      <t xml:space="preserve"> PR</t>
    </r>
    <r>
      <rPr>
        <sz val="10"/>
        <color theme="1"/>
        <rFont val="돋움"/>
        <family val="3"/>
        <charset val="129"/>
        <scheme val="minor"/>
      </rPr>
      <t>관리</t>
    </r>
    <phoneticPr fontId="29" type="noConversion"/>
  </si>
  <si>
    <r>
      <rPr>
        <sz val="10"/>
        <color theme="1"/>
        <rFont val="돋움"/>
        <family val="3"/>
        <charset val="129"/>
        <scheme val="minor"/>
      </rPr>
      <t>기능점검</t>
    </r>
    <r>
      <rPr>
        <sz val="10"/>
        <color theme="1"/>
        <rFont val="Arial"/>
        <family val="2"/>
        <scheme val="minor"/>
      </rPr>
      <t xml:space="preserve"> / QA</t>
    </r>
    <phoneticPr fontId="29" type="noConversion"/>
  </si>
  <si>
    <r>
      <rPr>
        <sz val="10"/>
        <color theme="1"/>
        <rFont val="돋움"/>
        <family val="3"/>
        <charset val="129"/>
        <scheme val="minor"/>
      </rPr>
      <t>회고록</t>
    </r>
    <r>
      <rPr>
        <sz val="10"/>
        <color theme="1"/>
        <rFont val="Arial"/>
        <family val="2"/>
        <scheme val="minor"/>
      </rPr>
      <t xml:space="preserve"> </t>
    </r>
    <r>
      <rPr>
        <sz val="10"/>
        <color theme="1"/>
        <rFont val="돋움"/>
        <family val="3"/>
        <charset val="129"/>
        <scheme val="minor"/>
      </rPr>
      <t>및</t>
    </r>
    <r>
      <rPr>
        <sz val="10"/>
        <color theme="1"/>
        <rFont val="Arial"/>
        <family val="2"/>
        <scheme val="minor"/>
      </rPr>
      <t xml:space="preserve"> </t>
    </r>
    <r>
      <rPr>
        <sz val="10"/>
        <color theme="1"/>
        <rFont val="돋움"/>
        <family val="3"/>
        <charset val="129"/>
        <scheme val="minor"/>
      </rPr>
      <t>피드백</t>
    </r>
    <r>
      <rPr>
        <sz val="10"/>
        <color theme="1"/>
        <rFont val="Arial"/>
        <family val="2"/>
        <scheme val="minor"/>
      </rPr>
      <t xml:space="preserve"> </t>
    </r>
    <r>
      <rPr>
        <sz val="10"/>
        <color theme="1"/>
        <rFont val="돋움"/>
        <family val="3"/>
        <charset val="129"/>
        <scheme val="minor"/>
      </rPr>
      <t>정리</t>
    </r>
    <phoneticPr fontId="29" type="noConversion"/>
  </si>
  <si>
    <r>
      <rPr>
        <sz val="10"/>
        <color theme="1"/>
        <rFont val="돋움"/>
        <family val="3"/>
        <charset val="129"/>
        <scheme val="minor"/>
      </rPr>
      <t>발표자료</t>
    </r>
    <r>
      <rPr>
        <sz val="10"/>
        <color theme="1"/>
        <rFont val="Arial"/>
        <family val="2"/>
        <scheme val="minor"/>
      </rPr>
      <t xml:space="preserve"> </t>
    </r>
    <r>
      <rPr>
        <sz val="10"/>
        <color theme="1"/>
        <rFont val="돋움"/>
        <family val="3"/>
        <charset val="129"/>
        <scheme val="minor"/>
      </rPr>
      <t>제작</t>
    </r>
    <phoneticPr fontId="29" type="noConversion"/>
  </si>
  <si>
    <r>
      <rPr>
        <sz val="10"/>
        <color theme="1"/>
        <rFont val="돋움"/>
        <family val="3"/>
        <charset val="129"/>
        <scheme val="minor"/>
      </rPr>
      <t>문서</t>
    </r>
    <r>
      <rPr>
        <sz val="10"/>
        <color theme="1"/>
        <rFont val="Arial"/>
        <family val="2"/>
        <scheme val="minor"/>
      </rPr>
      <t xml:space="preserve"> </t>
    </r>
    <r>
      <rPr>
        <sz val="10"/>
        <color theme="1"/>
        <rFont val="돋움"/>
        <family val="3"/>
        <charset val="129"/>
        <scheme val="minor"/>
      </rPr>
      <t>정리</t>
    </r>
    <r>
      <rPr>
        <sz val="10"/>
        <color theme="1"/>
        <rFont val="Arial"/>
        <family val="2"/>
        <scheme val="minor"/>
      </rPr>
      <t xml:space="preserve"> </t>
    </r>
    <r>
      <rPr>
        <sz val="10"/>
        <color theme="1"/>
        <rFont val="돋움"/>
        <family val="3"/>
        <charset val="129"/>
        <scheme val="minor"/>
      </rPr>
      <t>및</t>
    </r>
    <r>
      <rPr>
        <sz val="10"/>
        <color theme="1"/>
        <rFont val="Arial"/>
        <family val="2"/>
        <scheme val="minor"/>
      </rPr>
      <t xml:space="preserve"> README</t>
    </r>
    <phoneticPr fontId="29" type="noConversion"/>
  </si>
  <si>
    <r>
      <rPr>
        <sz val="10"/>
        <color theme="1"/>
        <rFont val="돋움"/>
        <family val="3"/>
        <charset val="129"/>
        <scheme val="minor"/>
      </rPr>
      <t>최종</t>
    </r>
    <r>
      <rPr>
        <sz val="10"/>
        <color theme="1"/>
        <rFont val="Arial"/>
        <family val="2"/>
        <scheme val="minor"/>
      </rPr>
      <t xml:space="preserve"> </t>
    </r>
    <r>
      <rPr>
        <sz val="10"/>
        <color theme="1"/>
        <rFont val="돋움"/>
        <family val="3"/>
        <charset val="129"/>
        <scheme val="minor"/>
      </rPr>
      <t>제출</t>
    </r>
    <r>
      <rPr>
        <sz val="10"/>
        <color theme="1"/>
        <rFont val="Arial"/>
        <family val="2"/>
        <scheme val="minor"/>
      </rPr>
      <t xml:space="preserve"> </t>
    </r>
    <r>
      <rPr>
        <sz val="10"/>
        <color theme="1"/>
        <rFont val="돋움"/>
        <family val="3"/>
        <charset val="129"/>
        <scheme val="minor"/>
      </rPr>
      <t>및</t>
    </r>
    <r>
      <rPr>
        <sz val="10"/>
        <color theme="1"/>
        <rFont val="Arial"/>
        <family val="2"/>
        <scheme val="minor"/>
      </rPr>
      <t xml:space="preserve"> </t>
    </r>
    <r>
      <rPr>
        <sz val="10"/>
        <color theme="1"/>
        <rFont val="돋움"/>
        <family val="3"/>
        <charset val="129"/>
        <scheme val="minor"/>
      </rPr>
      <t>시연</t>
    </r>
    <phoneticPr fontId="2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</si>
</sst>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76" formatCode="_(* #,##0.00_);_(* \(#,##0.00\);_(* &quot;-&quot;??_);_(@_)"/>
    <numFmt numFmtId="177" formatCode="m/d/yy;@"/>
    <numFmt numFmtId="178" formatCode="ddd\,\ m/d/yyyy"/>
    <numFmt numFmtId="179" formatCode="mmm\ d\,\ yyyy"/>
    <numFmt numFmtId="180" formatCode="d"/>
  </numFmts>
  <fonts count="3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sz val="8"/>
      <name val="돋움"/>
      <family val="3"/>
      <charset val="129"/>
      <scheme val="minor"/>
    </font>
    <font>
      <b/>
      <sz val="11"/>
      <name val="돋움"/>
      <family val="3"/>
      <charset val="129"/>
      <scheme val="minor"/>
    </font>
    <font>
      <b/>
      <sz val="16"/>
      <color theme="9"/>
      <name val="돋움"/>
      <family val="3"/>
      <charset val="129"/>
      <scheme val="minor"/>
    </font>
    <font>
      <b/>
      <sz val="14"/>
      <color theme="9"/>
      <name val="Arial"/>
      <family val="2"/>
      <scheme val="minor"/>
    </font>
    <font>
      <b/>
      <sz val="14"/>
      <color theme="9"/>
      <name val="돋움"/>
      <family val="3"/>
      <charset val="129"/>
      <scheme val="minor"/>
    </font>
    <font>
      <b/>
      <sz val="36"/>
      <color theme="9"/>
      <name val="돋움"/>
      <family val="3"/>
      <charset val="129"/>
    </font>
    <font>
      <b/>
      <sz val="10"/>
      <color theme="1"/>
      <name val="돋움"/>
      <family val="3"/>
      <charset val="129"/>
      <scheme val="minor"/>
    </font>
    <font>
      <b/>
      <sz val="12"/>
      <color theme="1"/>
      <name val="돋움"/>
      <family val="3"/>
      <charset val="129"/>
      <scheme val="minor"/>
    </font>
    <font>
      <sz val="11"/>
      <color theme="1"/>
      <name val="돋움"/>
      <family val="3"/>
      <charset val="129"/>
    </font>
    <font>
      <sz val="10"/>
      <color theme="1"/>
      <name val="돋움"/>
      <family val="3"/>
      <charset val="129"/>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2"/>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76"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78" fontId="4" fillId="0" borderId="2">
      <alignment horizontal="center" vertical="center"/>
    </xf>
    <xf numFmtId="177"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80" fontId="19" fillId="12" borderId="20" xfId="0" applyNumberFormat="1" applyFont="1" applyFill="1" applyBorder="1" applyAlignment="1">
      <alignment horizontal="center" vertical="center"/>
    </xf>
    <xf numFmtId="180" fontId="19" fillId="12" borderId="18" xfId="0" applyNumberFormat="1" applyFont="1" applyFill="1" applyBorder="1" applyAlignment="1">
      <alignment horizontal="center" vertical="center"/>
    </xf>
    <xf numFmtId="180"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8" fillId="0" borderId="0" xfId="0" applyFont="1"/>
    <xf numFmtId="0" fontId="18"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8" fillId="6" borderId="0" xfId="11" applyFont="1" applyFill="1" applyBorder="1" applyAlignment="1">
      <alignment vertical="center"/>
    </xf>
    <xf numFmtId="9" fontId="1" fillId="6" borderId="0" xfId="2" applyFont="1" applyFill="1" applyBorder="1" applyAlignment="1">
      <alignment horizontal="center" vertical="center"/>
    </xf>
    <xf numFmtId="177" fontId="18" fillId="6" borderId="0" xfId="0" applyNumberFormat="1" applyFont="1" applyFill="1" applyAlignment="1">
      <alignment horizontal="center" vertical="center"/>
    </xf>
    <xf numFmtId="177"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8" fillId="3" borderId="6" xfId="12" applyFont="1" applyFill="1" applyBorder="1">
      <alignment horizontal="left" vertical="center" indent="2"/>
    </xf>
    <xf numFmtId="0" fontId="18" fillId="3" borderId="6" xfId="11" applyFont="1" applyFill="1" applyBorder="1" applyAlignment="1">
      <alignment vertical="center"/>
    </xf>
    <xf numFmtId="9" fontId="1" fillId="3" borderId="6" xfId="2" applyFont="1" applyFill="1" applyBorder="1" applyAlignment="1">
      <alignment horizontal="center" vertical="center"/>
    </xf>
    <xf numFmtId="177" fontId="18" fillId="3" borderId="6" xfId="10" applyFont="1" applyFill="1" applyBorder="1">
      <alignment horizontal="center" vertical="center"/>
    </xf>
    <xf numFmtId="0" fontId="4" fillId="0" borderId="4" xfId="0" applyFont="1" applyBorder="1" applyAlignment="1">
      <alignment vertical="center"/>
    </xf>
    <xf numFmtId="0" fontId="18" fillId="3" borderId="7" xfId="12" applyFont="1" applyFill="1" applyBorder="1">
      <alignment horizontal="left" vertical="center" indent="2"/>
    </xf>
    <xf numFmtId="0" fontId="18" fillId="3" borderId="7" xfId="11" applyFont="1" applyFill="1" applyBorder="1" applyAlignment="1">
      <alignment vertical="center"/>
    </xf>
    <xf numFmtId="9" fontId="1" fillId="3" borderId="7" xfId="2" applyFont="1" applyFill="1" applyBorder="1" applyAlignment="1">
      <alignment horizontal="center" vertical="center"/>
    </xf>
    <xf numFmtId="177" fontId="18" fillId="3" borderId="7" xfId="10" applyFont="1" applyFill="1" applyBorder="1">
      <alignment horizontal="center" vertical="center"/>
    </xf>
    <xf numFmtId="0" fontId="4" fillId="0" borderId="4" xfId="0" applyFont="1" applyBorder="1" applyAlignment="1">
      <alignment horizontal="right" vertical="center"/>
    </xf>
    <xf numFmtId="0" fontId="18" fillId="7" borderId="0" xfId="11" applyFont="1" applyFill="1" applyBorder="1" applyAlignment="1">
      <alignment vertical="center"/>
    </xf>
    <xf numFmtId="9" fontId="1" fillId="7" borderId="0" xfId="2" applyFont="1" applyFill="1" applyBorder="1" applyAlignment="1">
      <alignment horizontal="center" vertical="center"/>
    </xf>
    <xf numFmtId="177" fontId="18" fillId="7" borderId="0" xfId="0" applyNumberFormat="1" applyFont="1" applyFill="1" applyAlignment="1">
      <alignment horizontal="center" vertical="center"/>
    </xf>
    <xf numFmtId="177" fontId="1" fillId="7" borderId="0" xfId="0" applyNumberFormat="1" applyFont="1" applyFill="1" applyAlignment="1">
      <alignment horizontal="center" vertical="center"/>
    </xf>
    <xf numFmtId="0" fontId="18" fillId="4" borderId="5" xfId="12" applyFont="1" applyFill="1" applyBorder="1">
      <alignment horizontal="left" vertical="center" indent="2"/>
    </xf>
    <xf numFmtId="0" fontId="18" fillId="4" borderId="5" xfId="11" applyFont="1" applyFill="1" applyBorder="1" applyAlignment="1">
      <alignment vertical="center"/>
    </xf>
    <xf numFmtId="9" fontId="1" fillId="4" borderId="5" xfId="2" applyFont="1" applyFill="1" applyBorder="1" applyAlignment="1">
      <alignment horizontal="center" vertical="center"/>
    </xf>
    <xf numFmtId="177" fontId="18" fillId="4" borderId="5" xfId="10" applyFont="1" applyFill="1" applyBorder="1">
      <alignment horizontal="center" vertical="center"/>
    </xf>
    <xf numFmtId="0" fontId="21" fillId="8" borderId="0" xfId="0" applyFont="1" applyFill="1" applyAlignment="1">
      <alignment horizontal="left" vertical="center" indent="1"/>
    </xf>
    <xf numFmtId="0" fontId="18" fillId="8" borderId="0" xfId="11" applyFont="1" applyFill="1" applyBorder="1" applyAlignment="1">
      <alignment vertical="center"/>
    </xf>
    <xf numFmtId="9" fontId="1" fillId="8" borderId="0" xfId="2" applyFont="1" applyFill="1" applyBorder="1" applyAlignment="1">
      <alignment horizontal="center" vertical="center"/>
    </xf>
    <xf numFmtId="177" fontId="18" fillId="8" borderId="0" xfId="0" applyNumberFormat="1" applyFont="1" applyFill="1" applyAlignment="1">
      <alignment horizontal="center" vertical="center"/>
    </xf>
    <xf numFmtId="177" fontId="1" fillId="8" borderId="0" xfId="0" applyNumberFormat="1" applyFont="1" applyFill="1" applyAlignment="1">
      <alignment horizontal="center" vertical="center"/>
    </xf>
    <xf numFmtId="0" fontId="4" fillId="0" borderId="11" xfId="0" applyFont="1" applyBorder="1" applyAlignment="1">
      <alignment vertical="center"/>
    </xf>
    <xf numFmtId="0" fontId="18" fillId="5" borderId="8" xfId="12" applyFont="1" applyFill="1" applyBorder="1">
      <alignment horizontal="left" vertical="center" indent="2"/>
    </xf>
    <xf numFmtId="0" fontId="18" fillId="5" borderId="8" xfId="11" applyFont="1" applyFill="1" applyBorder="1" applyAlignment="1">
      <alignment vertical="center"/>
    </xf>
    <xf numFmtId="9" fontId="1" fillId="5" borderId="8" xfId="2" applyFont="1" applyFill="1" applyBorder="1" applyAlignment="1">
      <alignment horizontal="center" vertical="center"/>
    </xf>
    <xf numFmtId="177" fontId="18" fillId="5" borderId="8" xfId="10" applyFont="1" applyFill="1" applyBorder="1">
      <alignment horizontal="center" vertical="center"/>
    </xf>
    <xf numFmtId="0" fontId="18" fillId="9" borderId="0" xfId="11" applyFont="1" applyFill="1" applyBorder="1" applyAlignment="1">
      <alignment vertical="center"/>
    </xf>
    <xf numFmtId="9" fontId="1" fillId="9" borderId="0" xfId="2" applyFont="1" applyFill="1" applyBorder="1" applyAlignment="1">
      <alignment horizontal="center" vertical="center"/>
    </xf>
    <xf numFmtId="177" fontId="18" fillId="9" borderId="0" xfId="0" applyNumberFormat="1" applyFont="1" applyFill="1" applyAlignment="1">
      <alignment horizontal="center" vertical="center"/>
    </xf>
    <xf numFmtId="177" fontId="1" fillId="9" borderId="0" xfId="0" applyNumberFormat="1" applyFont="1" applyFill="1" applyAlignment="1">
      <alignment horizontal="center" vertical="center"/>
    </xf>
    <xf numFmtId="0" fontId="4" fillId="0" borderId="10" xfId="0" applyFont="1" applyBorder="1" applyAlignment="1">
      <alignment vertical="center"/>
    </xf>
    <xf numFmtId="0" fontId="18" fillId="10" borderId="9" xfId="12" applyFont="1" applyFill="1" applyBorder="1">
      <alignment horizontal="left" vertical="center" indent="2"/>
    </xf>
    <xf numFmtId="0" fontId="18" fillId="10" borderId="9" xfId="11" applyFont="1" applyFill="1" applyBorder="1" applyAlignment="1">
      <alignment vertical="center"/>
    </xf>
    <xf numFmtId="9" fontId="1" fillId="10" borderId="9" xfId="2" applyFont="1" applyFill="1" applyBorder="1" applyAlignment="1">
      <alignment horizontal="center" vertical="center"/>
    </xf>
    <xf numFmtId="177" fontId="18" fillId="10" borderId="9" xfId="10" applyFont="1" applyFill="1" applyBorder="1">
      <alignment horizontal="center" vertical="center"/>
    </xf>
    <xf numFmtId="0" fontId="18" fillId="0" borderId="0" xfId="12" applyFont="1" applyBorder="1">
      <alignment horizontal="left" vertical="center" indent="2"/>
    </xf>
    <xf numFmtId="0" fontId="18" fillId="0" borderId="0" xfId="11" applyFont="1" applyBorder="1" applyAlignment="1">
      <alignment vertical="center"/>
    </xf>
    <xf numFmtId="9" fontId="1" fillId="0" borderId="0" xfId="2" applyFont="1" applyBorder="1" applyAlignment="1">
      <alignment horizontal="center" vertical="center"/>
    </xf>
    <xf numFmtId="177" fontId="18" fillId="0" borderId="0" xfId="10"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9" fontId="1" fillId="2" borderId="0" xfId="2" applyFont="1" applyFill="1" applyBorder="1" applyAlignment="1">
      <alignment horizontal="center" vertical="center"/>
    </xf>
    <xf numFmtId="177" fontId="23" fillId="2" borderId="0" xfId="0" applyNumberFormat="1" applyFont="1" applyFill="1" applyAlignment="1">
      <alignment horizontal="left" vertical="center"/>
    </xf>
    <xf numFmtId="177" fontId="1" fillId="2" borderId="0" xfId="0" applyNumberFormat="1" applyFont="1" applyFill="1" applyAlignment="1">
      <alignment horizontal="center" vertical="center"/>
    </xf>
    <xf numFmtId="0" fontId="4" fillId="2" borderId="0" xfId="0" applyFont="1" applyFill="1" applyAlignment="1">
      <alignment vertical="center"/>
    </xf>
    <xf numFmtId="0" fontId="24" fillId="0" borderId="0" xfId="7"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2" fillId="0" borderId="0" xfId="1" applyAlignment="1" applyProtection="1">
      <alignment horizontal="left" vertical="top" indent="1"/>
    </xf>
    <xf numFmtId="0" fontId="4" fillId="0" borderId="0" xfId="0" applyFont="1" applyBorder="1" applyAlignment="1">
      <alignment vertical="center"/>
    </xf>
    <xf numFmtId="0" fontId="4" fillId="0" borderId="22" xfId="0" applyFont="1" applyBorder="1" applyAlignment="1">
      <alignment vertical="center"/>
    </xf>
    <xf numFmtId="179" fontId="18" fillId="13" borderId="0" xfId="0" applyNumberFormat="1" applyFont="1" applyFill="1" applyBorder="1" applyAlignment="1">
      <alignment vertical="center" wrapText="1"/>
    </xf>
    <xf numFmtId="180" fontId="19" fillId="13" borderId="0" xfId="0" applyNumberFormat="1" applyFont="1" applyFill="1" applyBorder="1" applyAlignment="1">
      <alignment horizontal="center" vertical="center"/>
    </xf>
    <xf numFmtId="0" fontId="20" fillId="13" borderId="0" xfId="0" applyFont="1" applyFill="1" applyBorder="1" applyAlignment="1">
      <alignment horizontal="center" vertical="center" shrinkToFit="1"/>
    </xf>
    <xf numFmtId="0" fontId="32" fillId="0" borderId="0" xfId="6" applyFont="1" applyAlignment="1">
      <alignment horizontal="left" vertical="center" indent="1"/>
    </xf>
    <xf numFmtId="0" fontId="34" fillId="0" borderId="0" xfId="5" applyFont="1" applyAlignment="1">
      <alignment horizontal="left"/>
    </xf>
    <xf numFmtId="0" fontId="30" fillId="0" borderId="0" xfId="0" applyFont="1" applyAlignment="1">
      <alignment horizontal="left" indent="1"/>
    </xf>
    <xf numFmtId="0" fontId="36" fillId="9" borderId="0" xfId="0" applyFont="1" applyFill="1" applyAlignment="1">
      <alignment horizontal="left" vertical="center" indent="1"/>
    </xf>
    <xf numFmtId="0" fontId="36" fillId="7" borderId="0" xfId="0" applyFont="1" applyFill="1" applyAlignment="1">
      <alignment horizontal="left" vertical="center" indent="1"/>
    </xf>
    <xf numFmtId="0" fontId="37" fillId="0" borderId="0" xfId="0" applyFont="1"/>
    <xf numFmtId="0" fontId="4" fillId="14" borderId="4" xfId="0" applyFont="1" applyFill="1" applyBorder="1" applyAlignment="1">
      <alignment vertical="center"/>
    </xf>
    <xf numFmtId="0" fontId="4" fillId="14" borderId="23" xfId="0" applyFont="1" applyFill="1" applyBorder="1" applyAlignment="1">
      <alignment vertical="center"/>
    </xf>
    <xf numFmtId="0" fontId="4" fillId="14" borderId="0" xfId="0" applyFont="1" applyFill="1" applyBorder="1" applyAlignment="1">
      <alignment vertical="center"/>
    </xf>
    <xf numFmtId="0" fontId="4" fillId="14" borderId="0" xfId="0" applyFont="1" applyFill="1" applyAlignment="1">
      <alignment vertical="center"/>
    </xf>
    <xf numFmtId="0" fontId="4" fillId="14" borderId="11" xfId="0" applyFont="1" applyFill="1" applyBorder="1" applyAlignment="1">
      <alignment vertical="center"/>
    </xf>
    <xf numFmtId="0" fontId="4" fillId="14" borderId="10" xfId="0" applyFont="1" applyFill="1" applyBorder="1" applyAlignment="1">
      <alignment vertical="center"/>
    </xf>
    <xf numFmtId="178" fontId="25" fillId="0" borderId="0" xfId="9" applyFont="1" applyBorder="1" applyAlignment="1">
      <alignment horizontal="left"/>
    </xf>
    <xf numFmtId="0" fontId="26" fillId="0" borderId="0" xfId="0" applyFont="1"/>
    <xf numFmtId="0" fontId="24" fillId="0" borderId="0" xfId="8" applyFont="1" applyAlignment="1">
      <alignment horizontal="left"/>
    </xf>
    <xf numFmtId="0" fontId="4" fillId="0" borderId="0" xfId="0" applyFont="1"/>
    <xf numFmtId="0" fontId="13" fillId="0" borderId="0" xfId="3" applyAlignment="1">
      <alignment wrapText="1"/>
    </xf>
    <xf numFmtId="0" fontId="35"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35" fillId="11" borderId="16" xfId="0" applyFont="1" applyFill="1" applyBorder="1" applyAlignment="1">
      <alignment vertical="center"/>
    </xf>
    <xf numFmtId="0" fontId="4" fillId="2" borderId="21" xfId="0" applyFont="1" applyFill="1" applyBorder="1"/>
    <xf numFmtId="0" fontId="35" fillId="11" borderId="16" xfId="0" applyFont="1" applyFill="1" applyBorder="1" applyAlignment="1">
      <alignment horizontal="center" vertical="center"/>
    </xf>
    <xf numFmtId="179" fontId="18" fillId="2" borderId="18" xfId="0" applyNumberFormat="1" applyFont="1" applyFill="1" applyBorder="1" applyAlignment="1">
      <alignment horizontal="center" vertical="center" wrapText="1"/>
    </xf>
    <xf numFmtId="179" fontId="18" fillId="2" borderId="13" xfId="0" applyNumberFormat="1" applyFont="1" applyFill="1" applyBorder="1" applyAlignment="1">
      <alignment horizontal="center" vertical="center" wrapText="1"/>
    </xf>
    <xf numFmtId="179" fontId="18" fillId="2" borderId="19" xfId="0" applyNumberFormat="1" applyFont="1" applyFill="1" applyBorder="1" applyAlignment="1">
      <alignment horizontal="center" vertical="center" wrapText="1"/>
    </xf>
    <xf numFmtId="0" fontId="25" fillId="0" borderId="0" xfId="0" applyFont="1" applyAlignment="1">
      <alignment horizontal="left"/>
    </xf>
    <xf numFmtId="0" fontId="38" fillId="4" borderId="5" xfId="12" applyFont="1" applyFill="1" applyBorder="1">
      <alignment horizontal="left" vertical="center" indent="2"/>
    </xf>
    <xf numFmtId="0" fontId="38" fillId="5" borderId="8" xfId="12" applyFont="1" applyFill="1" applyBorder="1">
      <alignment horizontal="left" vertical="center" indent="2"/>
    </xf>
  </cellXfs>
  <cellStyles count="13">
    <cellStyle name="Date" xfId="10"/>
    <cellStyle name="Name" xfId="11"/>
    <cellStyle name="Project Start" xfId="9"/>
    <cellStyle name="Task" xfId="12"/>
    <cellStyle name="zHiddenText" xfId="3"/>
    <cellStyle name="백분율" xfId="2" builtinId="5"/>
    <cellStyle name="쉼표" xfId="4" builtinId="3" customBuiltin="1"/>
    <cellStyle name="제목" xfId="5" builtinId="15" customBuiltin="1"/>
    <cellStyle name="제목 1" xfId="6" builtinId="16" customBuiltin="1"/>
    <cellStyle name="제목 2" xfId="7" builtinId="17" customBuiltin="1"/>
    <cellStyle name="제목 3" xfId="8" builtinId="18" customBuiltin="1"/>
    <cellStyle name="표준" xfId="0" builtinId="0"/>
    <cellStyle name="하이퍼링크" xfId="1" builtinId="8" customBuiltin="1"/>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github.com/humanda-404error/human-da5-404ERROR"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L36"/>
  <sheetViews>
    <sheetView showGridLines="0" tabSelected="1" showRuler="0" topLeftCell="A2" zoomScaleNormal="100" zoomScalePageLayoutView="70" workbookViewId="0">
      <selection activeCell="J13" sqref="J13"/>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0.55000000000000004">
      <c r="A1" s="14"/>
      <c r="B1" s="107" t="s">
        <v>25</v>
      </c>
      <c r="C1" s="18"/>
      <c r="D1" s="19"/>
      <c r="E1" s="20"/>
      <c r="F1" s="21"/>
      <c r="H1" s="1"/>
      <c r="I1" s="120" t="s">
        <v>21</v>
      </c>
      <c r="J1" s="121"/>
      <c r="K1" s="121"/>
      <c r="L1" s="121"/>
      <c r="M1" s="121"/>
      <c r="N1" s="121"/>
      <c r="O1" s="121"/>
      <c r="P1" s="24"/>
      <c r="Q1" s="118">
        <f>DATE(2025, 4, 8)</f>
        <v>45755</v>
      </c>
      <c r="R1" s="119"/>
      <c r="S1" s="119"/>
      <c r="T1" s="119"/>
      <c r="U1" s="119"/>
      <c r="V1" s="119"/>
      <c r="W1" s="119"/>
      <c r="X1" s="119"/>
      <c r="Y1" s="119"/>
      <c r="Z1" s="119"/>
    </row>
    <row r="2" spans="1:64" ht="30" customHeight="1" x14ac:dyDescent="0.5">
      <c r="B2" s="106" t="s">
        <v>24</v>
      </c>
      <c r="C2" s="92" t="s">
        <v>36</v>
      </c>
      <c r="D2" s="111"/>
      <c r="E2" s="23"/>
      <c r="F2" s="22"/>
      <c r="I2" s="120" t="s">
        <v>22</v>
      </c>
      <c r="J2" s="121"/>
      <c r="K2" s="121"/>
      <c r="L2" s="121"/>
      <c r="M2" s="121"/>
      <c r="N2" s="121"/>
      <c r="O2" s="121"/>
      <c r="P2" s="24"/>
      <c r="Q2" s="131">
        <v>1</v>
      </c>
      <c r="R2" s="119"/>
      <c r="S2" s="119"/>
      <c r="T2" s="119"/>
      <c r="U2" s="119"/>
      <c r="V2" s="119"/>
      <c r="W2" s="119"/>
      <c r="X2" s="119"/>
      <c r="Y2" s="119"/>
      <c r="Z2" s="119"/>
    </row>
    <row r="3" spans="1:64" s="25" customFormat="1" ht="30" customHeight="1" x14ac:dyDescent="0.2">
      <c r="A3" s="13"/>
      <c r="B3" s="108" t="s">
        <v>26</v>
      </c>
      <c r="D3" s="26"/>
      <c r="E3" s="27"/>
    </row>
    <row r="4" spans="1:64" s="25" customFormat="1" ht="30" customHeight="1" x14ac:dyDescent="0.2">
      <c r="A4" s="14"/>
      <c r="B4" s="100" t="s">
        <v>23</v>
      </c>
      <c r="E4" s="28"/>
      <c r="I4" s="128">
        <f>I5</f>
        <v>45754</v>
      </c>
      <c r="J4" s="129"/>
      <c r="K4" s="129"/>
      <c r="L4" s="129"/>
      <c r="M4" s="129"/>
      <c r="N4" s="129"/>
      <c r="O4" s="129"/>
      <c r="P4" s="129">
        <f>P5</f>
        <v>45761</v>
      </c>
      <c r="Q4" s="129"/>
      <c r="R4" s="129"/>
      <c r="S4" s="129"/>
      <c r="T4" s="129"/>
      <c r="U4" s="129"/>
      <c r="V4" s="129"/>
      <c r="W4" s="129">
        <f>W5</f>
        <v>45768</v>
      </c>
      <c r="X4" s="129"/>
      <c r="Y4" s="129"/>
      <c r="Z4" s="129"/>
      <c r="AA4" s="129"/>
      <c r="AB4" s="129"/>
      <c r="AC4" s="130"/>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row>
    <row r="5" spans="1:64" s="25" customFormat="1" ht="15" customHeight="1" x14ac:dyDescent="0.2">
      <c r="A5" s="122"/>
      <c r="B5" s="123" t="s">
        <v>30</v>
      </c>
      <c r="C5" s="125" t="s">
        <v>31</v>
      </c>
      <c r="D5" s="127" t="s">
        <v>27</v>
      </c>
      <c r="E5" s="127" t="s">
        <v>28</v>
      </c>
      <c r="F5" s="127" t="s">
        <v>29</v>
      </c>
      <c r="I5" s="29">
        <f>Project_Start-WEEKDAY(Project_Start,1)+2+7*(Display_Week-1)</f>
        <v>45754</v>
      </c>
      <c r="J5" s="29">
        <f>I5+1</f>
        <v>45755</v>
      </c>
      <c r="K5" s="29">
        <f t="shared" ref="K5:AC5" si="0">J5+1</f>
        <v>45756</v>
      </c>
      <c r="L5" s="29">
        <f t="shared" si="0"/>
        <v>45757</v>
      </c>
      <c r="M5" s="29">
        <f t="shared" si="0"/>
        <v>45758</v>
      </c>
      <c r="N5" s="29">
        <f t="shared" si="0"/>
        <v>45759</v>
      </c>
      <c r="O5" s="30">
        <f t="shared" si="0"/>
        <v>45760</v>
      </c>
      <c r="P5" s="31">
        <f>O5+1</f>
        <v>45761</v>
      </c>
      <c r="Q5" s="29">
        <f>P5+1</f>
        <v>45762</v>
      </c>
      <c r="R5" s="29">
        <f t="shared" si="0"/>
        <v>45763</v>
      </c>
      <c r="S5" s="29">
        <f t="shared" si="0"/>
        <v>45764</v>
      </c>
      <c r="T5" s="29">
        <f t="shared" si="0"/>
        <v>45765</v>
      </c>
      <c r="U5" s="29">
        <f t="shared" si="0"/>
        <v>45766</v>
      </c>
      <c r="V5" s="30">
        <f t="shared" si="0"/>
        <v>45767</v>
      </c>
      <c r="W5" s="31">
        <f>V5+1</f>
        <v>45768</v>
      </c>
      <c r="X5" s="29">
        <f>W5+1</f>
        <v>45769</v>
      </c>
      <c r="Y5" s="29">
        <f t="shared" si="0"/>
        <v>45770</v>
      </c>
      <c r="Z5" s="29">
        <f t="shared" si="0"/>
        <v>45771</v>
      </c>
      <c r="AA5" s="29">
        <f t="shared" si="0"/>
        <v>45772</v>
      </c>
      <c r="AB5" s="29">
        <f t="shared" si="0"/>
        <v>45773</v>
      </c>
      <c r="AC5" s="29">
        <f t="shared" si="0"/>
        <v>45774</v>
      </c>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row>
    <row r="6" spans="1:64" s="25" customFormat="1" ht="15" customHeight="1" thickBot="1" x14ac:dyDescent="0.25">
      <c r="A6" s="122"/>
      <c r="B6" s="124"/>
      <c r="C6" s="126"/>
      <c r="D6" s="126"/>
      <c r="E6" s="126"/>
      <c r="F6" s="126"/>
      <c r="I6" s="32" t="str">
        <f t="shared" ref="I6:AC6" si="1">LEFT(TEXT(I5,"ddd"),1)</f>
        <v>M</v>
      </c>
      <c r="J6" s="33" t="str">
        <f t="shared" si="1"/>
        <v>T</v>
      </c>
      <c r="K6" s="33" t="str">
        <f t="shared" si="1"/>
        <v>W</v>
      </c>
      <c r="L6" s="33" t="str">
        <f t="shared" si="1"/>
        <v>T</v>
      </c>
      <c r="M6" s="33" t="str">
        <f t="shared" si="1"/>
        <v>F</v>
      </c>
      <c r="N6" s="33" t="str">
        <f t="shared" si="1"/>
        <v>S</v>
      </c>
      <c r="O6" s="33" t="str">
        <f t="shared" si="1"/>
        <v>S</v>
      </c>
      <c r="P6" s="33" t="str">
        <f t="shared" si="1"/>
        <v>M</v>
      </c>
      <c r="Q6" s="33" t="str">
        <f t="shared" si="1"/>
        <v>T</v>
      </c>
      <c r="R6" s="33" t="str">
        <f t="shared" si="1"/>
        <v>W</v>
      </c>
      <c r="S6" s="33" t="str">
        <f t="shared" si="1"/>
        <v>T</v>
      </c>
      <c r="T6" s="33" t="str">
        <f t="shared" si="1"/>
        <v>F</v>
      </c>
      <c r="U6" s="33" t="str">
        <f t="shared" si="1"/>
        <v>S</v>
      </c>
      <c r="V6" s="33" t="str">
        <f t="shared" si="1"/>
        <v>S</v>
      </c>
      <c r="W6" s="33" t="str">
        <f t="shared" si="1"/>
        <v>M</v>
      </c>
      <c r="X6" s="33" t="str">
        <f t="shared" si="1"/>
        <v>T</v>
      </c>
      <c r="Y6" s="33" t="str">
        <f t="shared" si="1"/>
        <v>W</v>
      </c>
      <c r="Z6" s="33" t="str">
        <f t="shared" si="1"/>
        <v>T</v>
      </c>
      <c r="AA6" s="33" t="str">
        <f t="shared" si="1"/>
        <v>F</v>
      </c>
      <c r="AB6" s="33" t="str">
        <f t="shared" si="1"/>
        <v>S</v>
      </c>
      <c r="AC6" s="34" t="str">
        <f t="shared" si="1"/>
        <v>S</v>
      </c>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row>
    <row r="7" spans="1:64" s="25" customFormat="1" ht="30" hidden="1" customHeight="1" thickBot="1" x14ac:dyDescent="0.25">
      <c r="A7" s="13" t="s">
        <v>15</v>
      </c>
      <c r="B7" s="35"/>
      <c r="C7" s="36"/>
      <c r="D7" s="35"/>
      <c r="E7" s="35"/>
      <c r="F7" s="35"/>
      <c r="H7" s="25" t="str">
        <f>IF(OR(ISBLANK(task_start),ISBLANK(task_end)),"",task_end-task_start+1)</f>
        <v/>
      </c>
      <c r="I7" s="37"/>
      <c r="J7" s="37"/>
      <c r="K7" s="37"/>
      <c r="L7" s="37"/>
      <c r="M7" s="37"/>
      <c r="N7" s="37"/>
      <c r="O7" s="37"/>
      <c r="P7" s="37"/>
      <c r="Q7" s="37"/>
      <c r="R7" s="37"/>
      <c r="S7" s="37"/>
      <c r="T7" s="37"/>
      <c r="U7" s="37"/>
      <c r="V7" s="37"/>
      <c r="W7" s="37"/>
      <c r="X7" s="37"/>
      <c r="Y7" s="37"/>
      <c r="Z7" s="37"/>
      <c r="AA7" s="37"/>
      <c r="AB7" s="37"/>
      <c r="AC7" s="102"/>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row>
    <row r="8" spans="1:64" s="44" customFormat="1" ht="30" customHeight="1" thickBot="1" x14ac:dyDescent="0.25">
      <c r="A8" s="14"/>
      <c r="B8" s="38" t="s">
        <v>32</v>
      </c>
      <c r="C8" s="39"/>
      <c r="D8" s="40"/>
      <c r="E8" s="41"/>
      <c r="F8" s="42"/>
      <c r="G8" s="17"/>
      <c r="H8" s="5" t="str">
        <f t="shared" ref="H8:H33" si="2">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1"/>
      <c r="BK8" s="101"/>
      <c r="BL8" s="101"/>
    </row>
    <row r="9" spans="1:64" s="44" customFormat="1" ht="30" customHeight="1" thickBot="1" x14ac:dyDescent="0.25">
      <c r="A9" s="14"/>
      <c r="B9" s="45" t="s">
        <v>37</v>
      </c>
      <c r="C9" s="46" t="s">
        <v>16</v>
      </c>
      <c r="D9" s="47">
        <v>1</v>
      </c>
      <c r="E9" s="48">
        <f>Project_Start</f>
        <v>45755</v>
      </c>
      <c r="F9" s="48">
        <f>E9+1</f>
        <v>45756</v>
      </c>
      <c r="G9" s="17"/>
      <c r="H9" s="5">
        <f t="shared" si="2"/>
        <v>2</v>
      </c>
      <c r="I9" s="49"/>
      <c r="J9" s="49"/>
      <c r="K9" s="49"/>
      <c r="L9" s="49"/>
      <c r="M9" s="49"/>
      <c r="N9" s="49"/>
      <c r="O9" s="49"/>
      <c r="P9" s="49"/>
      <c r="Q9" s="49"/>
      <c r="R9" s="49"/>
      <c r="S9" s="49"/>
      <c r="T9" s="49"/>
      <c r="U9" s="49"/>
      <c r="V9" s="49"/>
      <c r="W9" s="49"/>
      <c r="X9" s="49"/>
      <c r="Y9" s="49"/>
      <c r="Z9" s="112"/>
      <c r="AA9" s="112"/>
      <c r="AB9" s="112"/>
      <c r="AC9" s="113"/>
      <c r="AD9" s="114"/>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row>
    <row r="10" spans="1:64" s="44" customFormat="1" ht="30" customHeight="1" thickBot="1" x14ac:dyDescent="0.25">
      <c r="A10" s="14"/>
      <c r="B10" s="50" t="s">
        <v>38</v>
      </c>
      <c r="C10" s="51" t="s">
        <v>17</v>
      </c>
      <c r="D10" s="52">
        <v>1</v>
      </c>
      <c r="E10" s="53">
        <f>F9</f>
        <v>45756</v>
      </c>
      <c r="F10" s="53">
        <f>E10+0</f>
        <v>45756</v>
      </c>
      <c r="G10" s="17"/>
      <c r="H10" s="5">
        <f t="shared" si="2"/>
        <v>1</v>
      </c>
      <c r="I10" s="49"/>
      <c r="J10" s="49"/>
      <c r="K10" s="49"/>
      <c r="L10" s="49"/>
      <c r="M10" s="49"/>
      <c r="N10" s="49"/>
      <c r="O10" s="49"/>
      <c r="P10" s="49"/>
      <c r="Q10" s="49"/>
      <c r="R10" s="49"/>
      <c r="S10" s="49"/>
      <c r="T10" s="49"/>
      <c r="U10" s="54"/>
      <c r="V10" s="54"/>
      <c r="W10" s="49"/>
      <c r="X10" s="49"/>
      <c r="Y10" s="49"/>
      <c r="Z10" s="112"/>
      <c r="AA10" s="112"/>
      <c r="AB10" s="112"/>
      <c r="AC10" s="113"/>
      <c r="AD10" s="114"/>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s="44" customFormat="1" ht="30" customHeight="1" thickBot="1" x14ac:dyDescent="0.25">
      <c r="A11" s="13"/>
      <c r="B11" s="50" t="s">
        <v>39</v>
      </c>
      <c r="C11" s="51" t="s">
        <v>18</v>
      </c>
      <c r="D11" s="52">
        <v>1</v>
      </c>
      <c r="E11" s="53">
        <f>F10</f>
        <v>45756</v>
      </c>
      <c r="F11" s="53">
        <f>E11+1</f>
        <v>45757</v>
      </c>
      <c r="G11" s="17"/>
      <c r="H11" s="5">
        <f t="shared" si="2"/>
        <v>2</v>
      </c>
      <c r="I11" s="49"/>
      <c r="J11" s="49"/>
      <c r="K11" s="49"/>
      <c r="L11" s="49"/>
      <c r="M11" s="49"/>
      <c r="N11" s="49"/>
      <c r="O11" s="49"/>
      <c r="P11" s="49"/>
      <c r="Q11" s="49"/>
      <c r="R11" s="49"/>
      <c r="S11" s="49"/>
      <c r="T11" s="49"/>
      <c r="U11" s="49"/>
      <c r="V11" s="49"/>
      <c r="W11" s="49"/>
      <c r="X11" s="49"/>
      <c r="Y11" s="49"/>
      <c r="Z11" s="112"/>
      <c r="AA11" s="112"/>
      <c r="AB11" s="112"/>
      <c r="AC11" s="113"/>
      <c r="AD11" s="114"/>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s="44" customFormat="1" ht="30" customHeight="1" thickBot="1" x14ac:dyDescent="0.25">
      <c r="A12" s="13"/>
      <c r="B12" s="50" t="s">
        <v>40</v>
      </c>
      <c r="C12" s="51" t="s">
        <v>19</v>
      </c>
      <c r="D12" s="52">
        <v>1</v>
      </c>
      <c r="E12" s="53">
        <f>F11</f>
        <v>45757</v>
      </c>
      <c r="F12" s="53">
        <f>E12+1</f>
        <v>45758</v>
      </c>
      <c r="G12" s="17"/>
      <c r="H12" s="5">
        <f t="shared" si="2"/>
        <v>2</v>
      </c>
      <c r="I12" s="49"/>
      <c r="J12" s="49"/>
      <c r="K12" s="49"/>
      <c r="L12" s="49"/>
      <c r="M12" s="49"/>
      <c r="N12" s="49"/>
      <c r="O12" s="49"/>
      <c r="P12" s="49"/>
      <c r="Q12" s="49"/>
      <c r="R12" s="49"/>
      <c r="S12" s="49"/>
      <c r="T12" s="49"/>
      <c r="U12" s="49"/>
      <c r="V12" s="49"/>
      <c r="W12" s="49"/>
      <c r="X12" s="49"/>
      <c r="Y12" s="54"/>
      <c r="Z12" s="112"/>
      <c r="AA12" s="112"/>
      <c r="AB12" s="112"/>
      <c r="AC12" s="113"/>
      <c r="AD12" s="114"/>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s="44" customFormat="1" ht="30" customHeight="1" thickBot="1" x14ac:dyDescent="0.25">
      <c r="A13" s="13"/>
      <c r="B13" s="50" t="s">
        <v>41</v>
      </c>
      <c r="C13" s="51"/>
      <c r="D13" s="52">
        <v>1</v>
      </c>
      <c r="E13" s="53">
        <f>E10+1</f>
        <v>45757</v>
      </c>
      <c r="F13" s="53">
        <f>E13+0</f>
        <v>45757</v>
      </c>
      <c r="G13" s="17"/>
      <c r="H13" s="5">
        <f t="shared" si="2"/>
        <v>1</v>
      </c>
      <c r="I13" s="49"/>
      <c r="J13" s="49"/>
      <c r="K13" s="49"/>
      <c r="L13" s="49"/>
      <c r="M13" s="49"/>
      <c r="N13" s="49"/>
      <c r="O13" s="49"/>
      <c r="P13" s="49"/>
      <c r="Q13" s="49"/>
      <c r="R13" s="49"/>
      <c r="S13" s="49"/>
      <c r="T13" s="49"/>
      <c r="U13" s="49"/>
      <c r="V13" s="49"/>
      <c r="W13" s="49"/>
      <c r="X13" s="49"/>
      <c r="Y13" s="49"/>
      <c r="Z13" s="112"/>
      <c r="AA13" s="112"/>
      <c r="AB13" s="112"/>
      <c r="AC13" s="113"/>
      <c r="AD13" s="114"/>
      <c r="AE13" s="101"/>
      <c r="AF13" s="101"/>
      <c r="AG13" s="101"/>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1"/>
      <c r="BK13" s="101"/>
      <c r="BL13" s="101"/>
    </row>
    <row r="14" spans="1:64" s="44" customFormat="1" ht="30" customHeight="1" thickBot="1" x14ac:dyDescent="0.25">
      <c r="A14" s="14"/>
      <c r="B14" s="110" t="s">
        <v>33</v>
      </c>
      <c r="C14" s="55"/>
      <c r="D14" s="56"/>
      <c r="E14" s="57"/>
      <c r="F14" s="58"/>
      <c r="G14" s="17"/>
      <c r="H14" s="5" t="str">
        <f t="shared" si="2"/>
        <v/>
      </c>
      <c r="Z14" s="115"/>
      <c r="AA14" s="115"/>
      <c r="AB14" s="115"/>
      <c r="AC14" s="115"/>
      <c r="AD14" s="114"/>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row>
    <row r="15" spans="1:64" s="44" customFormat="1" ht="30" customHeight="1" thickBot="1" x14ac:dyDescent="0.25">
      <c r="A15" s="14"/>
      <c r="B15" s="59" t="s">
        <v>42</v>
      </c>
      <c r="C15" s="60" t="s">
        <v>16</v>
      </c>
      <c r="D15" s="61">
        <v>1</v>
      </c>
      <c r="E15" s="62">
        <f>E13+1</f>
        <v>45758</v>
      </c>
      <c r="F15" s="62">
        <f>E15+2</f>
        <v>45760</v>
      </c>
      <c r="G15" s="17"/>
      <c r="H15" s="5">
        <f t="shared" si="2"/>
        <v>3</v>
      </c>
      <c r="I15" s="49"/>
      <c r="J15" s="49"/>
      <c r="K15" s="49"/>
      <c r="L15" s="49"/>
      <c r="M15" s="49"/>
      <c r="N15" s="49"/>
      <c r="O15" s="49"/>
      <c r="P15" s="49"/>
      <c r="Q15" s="49"/>
      <c r="R15" s="49"/>
      <c r="S15" s="49"/>
      <c r="T15" s="49"/>
      <c r="U15" s="49"/>
      <c r="V15" s="49"/>
      <c r="W15" s="49"/>
      <c r="X15" s="49"/>
      <c r="Y15" s="49"/>
      <c r="Z15" s="112"/>
      <c r="AA15" s="112"/>
      <c r="AB15" s="112"/>
      <c r="AC15" s="113"/>
      <c r="AD15" s="114"/>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row>
    <row r="16" spans="1:64" s="44" customFormat="1" ht="30" customHeight="1" thickBot="1" x14ac:dyDescent="0.25">
      <c r="A16" s="13"/>
      <c r="B16" s="59" t="s">
        <v>43</v>
      </c>
      <c r="C16" s="60" t="s">
        <v>17</v>
      </c>
      <c r="D16" s="61">
        <v>1</v>
      </c>
      <c r="E16" s="62">
        <f>E15+2</f>
        <v>45760</v>
      </c>
      <c r="F16" s="62">
        <f>E16+1</f>
        <v>45761</v>
      </c>
      <c r="G16" s="17"/>
      <c r="H16" s="5">
        <f t="shared" si="2"/>
        <v>2</v>
      </c>
      <c r="I16" s="49"/>
      <c r="J16" s="49"/>
      <c r="K16" s="49"/>
      <c r="L16" s="49"/>
      <c r="M16" s="49"/>
      <c r="N16" s="49"/>
      <c r="O16" s="49"/>
      <c r="P16" s="49"/>
      <c r="Q16" s="49"/>
      <c r="R16" s="49"/>
      <c r="S16" s="49"/>
      <c r="T16" s="49"/>
      <c r="U16" s="54"/>
      <c r="V16" s="54"/>
      <c r="W16" s="49"/>
      <c r="X16" s="49"/>
      <c r="Y16" s="49"/>
      <c r="Z16" s="112"/>
      <c r="AA16" s="112"/>
      <c r="AB16" s="112"/>
      <c r="AC16" s="113"/>
      <c r="AD16" s="114"/>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row>
    <row r="17" spans="1:64" s="44" customFormat="1" ht="30" customHeight="1" thickBot="1" x14ac:dyDescent="0.25">
      <c r="A17" s="13"/>
      <c r="B17" s="59" t="s">
        <v>44</v>
      </c>
      <c r="C17" s="60" t="s">
        <v>18</v>
      </c>
      <c r="D17" s="61">
        <v>1</v>
      </c>
      <c r="E17" s="62">
        <f>F16</f>
        <v>45761</v>
      </c>
      <c r="F17" s="62">
        <f>E17+0</f>
        <v>45761</v>
      </c>
      <c r="G17" s="17"/>
      <c r="H17" s="5">
        <f t="shared" si="2"/>
        <v>1</v>
      </c>
      <c r="I17" s="49"/>
      <c r="J17" s="49"/>
      <c r="K17" s="49"/>
      <c r="L17" s="49"/>
      <c r="M17" s="49"/>
      <c r="N17" s="49"/>
      <c r="O17" s="49"/>
      <c r="P17" s="49"/>
      <c r="Q17" s="49"/>
      <c r="R17" s="49"/>
      <c r="S17" s="49"/>
      <c r="T17" s="49"/>
      <c r="U17" s="49"/>
      <c r="V17" s="49"/>
      <c r="W17" s="49"/>
      <c r="X17" s="49"/>
      <c r="Y17" s="49"/>
      <c r="Z17" s="112"/>
      <c r="AA17" s="112"/>
      <c r="AB17" s="112"/>
      <c r="AC17" s="113"/>
      <c r="AD17" s="114"/>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row>
    <row r="18" spans="1:64" s="44" customFormat="1" ht="30" customHeight="1" thickBot="1" x14ac:dyDescent="0.25">
      <c r="A18" s="13"/>
      <c r="B18" s="132" t="s">
        <v>45</v>
      </c>
      <c r="C18" s="60" t="s">
        <v>19</v>
      </c>
      <c r="D18" s="61">
        <v>1</v>
      </c>
      <c r="E18" s="62">
        <f>E17</f>
        <v>45761</v>
      </c>
      <c r="F18" s="62">
        <f>E18+0</f>
        <v>45761</v>
      </c>
      <c r="G18" s="17"/>
      <c r="H18" s="5">
        <f t="shared" si="2"/>
        <v>1</v>
      </c>
      <c r="I18" s="49"/>
      <c r="J18" s="49"/>
      <c r="K18" s="49"/>
      <c r="L18" s="49"/>
      <c r="M18" s="49"/>
      <c r="N18" s="49"/>
      <c r="O18" s="49"/>
      <c r="P18" s="49"/>
      <c r="Q18" s="49"/>
      <c r="R18" s="49"/>
      <c r="S18" s="49"/>
      <c r="T18" s="49"/>
      <c r="U18" s="49"/>
      <c r="V18" s="49"/>
      <c r="W18" s="49"/>
      <c r="X18" s="49"/>
      <c r="Y18" s="54"/>
      <c r="Z18" s="112"/>
      <c r="AA18" s="112"/>
      <c r="AB18" s="112"/>
      <c r="AC18" s="113"/>
      <c r="AD18" s="114"/>
      <c r="AE18" s="101"/>
      <c r="AF18" s="101"/>
      <c r="AG18" s="101"/>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1"/>
      <c r="BK18" s="101"/>
      <c r="BL18" s="101"/>
    </row>
    <row r="19" spans="1:64" s="44" customFormat="1" ht="30" customHeight="1" thickBot="1" x14ac:dyDescent="0.25">
      <c r="A19" s="13"/>
      <c r="B19" s="59" t="s">
        <v>46</v>
      </c>
      <c r="C19" s="60" t="s">
        <v>20</v>
      </c>
      <c r="D19" s="61">
        <v>1</v>
      </c>
      <c r="E19" s="62">
        <f>E18</f>
        <v>45761</v>
      </c>
      <c r="F19" s="62">
        <f>E19+1</f>
        <v>45762</v>
      </c>
      <c r="G19" s="17"/>
      <c r="H19" s="5">
        <f t="shared" si="2"/>
        <v>2</v>
      </c>
      <c r="I19" s="49"/>
      <c r="J19" s="49"/>
      <c r="K19" s="49"/>
      <c r="L19" s="49"/>
      <c r="M19" s="49"/>
      <c r="N19" s="49"/>
      <c r="O19" s="49"/>
      <c r="P19" s="49"/>
      <c r="Q19" s="49"/>
      <c r="R19" s="49"/>
      <c r="S19" s="49"/>
      <c r="T19" s="49"/>
      <c r="U19" s="49"/>
      <c r="V19" s="49"/>
      <c r="W19" s="49"/>
      <c r="X19" s="49"/>
      <c r="Y19" s="49"/>
      <c r="Z19" s="112"/>
      <c r="AA19" s="112"/>
      <c r="AB19" s="112"/>
      <c r="AC19" s="113"/>
      <c r="AD19" s="114"/>
      <c r="AE19" s="101"/>
      <c r="AF19" s="101"/>
      <c r="AG19" s="101"/>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1"/>
      <c r="BK19" s="101"/>
      <c r="BL19" s="101"/>
    </row>
    <row r="20" spans="1:64" s="44" customFormat="1" ht="30" customHeight="1" thickBot="1" x14ac:dyDescent="0.25">
      <c r="A20" s="13"/>
      <c r="B20" s="63" t="s">
        <v>34</v>
      </c>
      <c r="C20" s="64"/>
      <c r="D20" s="65"/>
      <c r="E20" s="66"/>
      <c r="F20" s="67"/>
      <c r="G20" s="17"/>
      <c r="H20" s="5" t="str">
        <f t="shared" si="2"/>
        <v/>
      </c>
      <c r="I20" s="68"/>
      <c r="J20" s="68"/>
      <c r="K20" s="68"/>
      <c r="L20" s="68"/>
      <c r="M20" s="68"/>
      <c r="N20" s="68"/>
      <c r="O20" s="68"/>
      <c r="P20" s="68"/>
      <c r="Q20" s="68"/>
      <c r="R20" s="68"/>
      <c r="S20" s="68"/>
      <c r="T20" s="68"/>
      <c r="U20" s="68"/>
      <c r="V20" s="68"/>
      <c r="W20" s="68"/>
      <c r="X20" s="68"/>
      <c r="Y20" s="68"/>
      <c r="Z20" s="116"/>
      <c r="AA20" s="116"/>
      <c r="AB20" s="116"/>
      <c r="AC20" s="116"/>
      <c r="AD20" s="114"/>
      <c r="AE20" s="101"/>
      <c r="AF20" s="101"/>
      <c r="AG20" s="101"/>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1"/>
      <c r="BK20" s="101"/>
      <c r="BL20" s="101"/>
    </row>
    <row r="21" spans="1:64" s="44" customFormat="1" ht="30" customHeight="1" thickBot="1" x14ac:dyDescent="0.25">
      <c r="A21" s="13"/>
      <c r="B21" s="133" t="s">
        <v>47</v>
      </c>
      <c r="C21" s="70" t="s">
        <v>16</v>
      </c>
      <c r="D21" s="71">
        <v>1</v>
      </c>
      <c r="E21" s="72">
        <f>E9+7</f>
        <v>45762</v>
      </c>
      <c r="F21" s="72">
        <f>E21+1</f>
        <v>45763</v>
      </c>
      <c r="G21" s="17"/>
      <c r="H21" s="5">
        <f t="shared" si="2"/>
        <v>2</v>
      </c>
      <c r="I21" s="49"/>
      <c r="J21" s="49"/>
      <c r="K21" s="49"/>
      <c r="L21" s="49"/>
      <c r="M21" s="49"/>
      <c r="N21" s="49"/>
      <c r="O21" s="49"/>
      <c r="P21" s="49"/>
      <c r="Q21" s="49"/>
      <c r="R21" s="49"/>
      <c r="S21" s="49"/>
      <c r="T21" s="49"/>
      <c r="U21" s="49"/>
      <c r="V21" s="49"/>
      <c r="W21" s="49"/>
      <c r="X21" s="49"/>
      <c r="Y21" s="49"/>
      <c r="Z21" s="112"/>
      <c r="AA21" s="112"/>
      <c r="AB21" s="112"/>
      <c r="AC21" s="113"/>
      <c r="AD21" s="114"/>
      <c r="AE21" s="101"/>
      <c r="AF21" s="101"/>
      <c r="AG21" s="101"/>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1"/>
      <c r="BK21" s="101"/>
      <c r="BL21" s="101"/>
    </row>
    <row r="22" spans="1:64" s="44" customFormat="1" ht="30" customHeight="1" thickBot="1" x14ac:dyDescent="0.25">
      <c r="A22" s="13"/>
      <c r="B22" s="69" t="s">
        <v>48</v>
      </c>
      <c r="C22" s="70" t="s">
        <v>17</v>
      </c>
      <c r="D22" s="71">
        <v>1</v>
      </c>
      <c r="E22" s="72">
        <f>F21+1</f>
        <v>45764</v>
      </c>
      <c r="F22" s="72">
        <f>E22+1</f>
        <v>45765</v>
      </c>
      <c r="G22" s="17"/>
      <c r="H22" s="5">
        <f t="shared" si="2"/>
        <v>2</v>
      </c>
      <c r="I22" s="49"/>
      <c r="J22" s="49"/>
      <c r="K22" s="49"/>
      <c r="L22" s="49"/>
      <c r="M22" s="49"/>
      <c r="N22" s="49"/>
      <c r="O22" s="49"/>
      <c r="P22" s="49"/>
      <c r="Q22" s="49"/>
      <c r="R22" s="49"/>
      <c r="S22" s="49"/>
      <c r="T22" s="49"/>
      <c r="U22" s="49"/>
      <c r="V22" s="49"/>
      <c r="W22" s="49"/>
      <c r="X22" s="49"/>
      <c r="Y22" s="49"/>
      <c r="Z22" s="112"/>
      <c r="AA22" s="112"/>
      <c r="AB22" s="112"/>
      <c r="AC22" s="113"/>
      <c r="AD22" s="114"/>
      <c r="AE22" s="101"/>
      <c r="AF22" s="101"/>
      <c r="AG22" s="101"/>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1"/>
      <c r="BK22" s="101"/>
      <c r="BL22" s="101"/>
    </row>
    <row r="23" spans="1:64" s="44" customFormat="1" ht="30" customHeight="1" thickBot="1" x14ac:dyDescent="0.25">
      <c r="A23" s="13"/>
      <c r="B23" s="69" t="s">
        <v>49</v>
      </c>
      <c r="C23" s="70" t="s">
        <v>18</v>
      </c>
      <c r="D23" s="71">
        <v>1</v>
      </c>
      <c r="E23" s="72">
        <f>E22+2</f>
        <v>45766</v>
      </c>
      <c r="F23" s="72">
        <f>E23+0</f>
        <v>45766</v>
      </c>
      <c r="G23" s="17"/>
      <c r="H23" s="5">
        <f t="shared" si="2"/>
        <v>1</v>
      </c>
      <c r="I23" s="49"/>
      <c r="J23" s="49"/>
      <c r="K23" s="49"/>
      <c r="L23" s="49"/>
      <c r="M23" s="49"/>
      <c r="N23" s="49"/>
      <c r="O23" s="49"/>
      <c r="P23" s="49"/>
      <c r="Q23" s="49"/>
      <c r="R23" s="49"/>
      <c r="S23" s="49"/>
      <c r="T23" s="49"/>
      <c r="U23" s="49"/>
      <c r="V23" s="49"/>
      <c r="W23" s="49"/>
      <c r="X23" s="49"/>
      <c r="Y23" s="49"/>
      <c r="Z23" s="112"/>
      <c r="AA23" s="112"/>
      <c r="AB23" s="112"/>
      <c r="AC23" s="113"/>
      <c r="AD23" s="114"/>
      <c r="AE23" s="101"/>
      <c r="AF23" s="101"/>
      <c r="AG23" s="101"/>
      <c r="AH23" s="101"/>
      <c r="AI23" s="101"/>
      <c r="AJ23" s="101"/>
      <c r="AK23" s="101"/>
      <c r="AL23" s="101"/>
      <c r="AM23" s="101"/>
      <c r="AN23" s="101"/>
      <c r="AO23" s="101"/>
      <c r="AP23" s="101"/>
      <c r="AQ23" s="101"/>
      <c r="AR23" s="101"/>
      <c r="AS23" s="101"/>
      <c r="AT23" s="101"/>
      <c r="AU23" s="101"/>
      <c r="AV23" s="101"/>
      <c r="AW23" s="101"/>
      <c r="AX23" s="101"/>
      <c r="AY23" s="101"/>
      <c r="AZ23" s="101"/>
      <c r="BA23" s="101"/>
      <c r="BB23" s="101"/>
      <c r="BC23" s="101"/>
      <c r="BD23" s="101"/>
      <c r="BE23" s="101"/>
      <c r="BF23" s="101"/>
      <c r="BG23" s="101"/>
      <c r="BH23" s="101"/>
      <c r="BI23" s="101"/>
      <c r="BJ23" s="101"/>
      <c r="BK23" s="101"/>
      <c r="BL23" s="101"/>
    </row>
    <row r="24" spans="1:64" s="44" customFormat="1" ht="30" customHeight="1" thickBot="1" x14ac:dyDescent="0.25">
      <c r="A24" s="13"/>
      <c r="B24" s="69" t="s">
        <v>50</v>
      </c>
      <c r="C24" s="70" t="s">
        <v>19</v>
      </c>
      <c r="D24" s="71">
        <v>1</v>
      </c>
      <c r="E24" s="72">
        <f>F23+1</f>
        <v>45767</v>
      </c>
      <c r="F24" s="72">
        <f>E24+1</f>
        <v>45768</v>
      </c>
      <c r="G24" s="17"/>
      <c r="H24" s="5">
        <f t="shared" si="2"/>
        <v>2</v>
      </c>
      <c r="I24" s="49"/>
      <c r="J24" s="49"/>
      <c r="K24" s="49"/>
      <c r="L24" s="49"/>
      <c r="M24" s="49"/>
      <c r="N24" s="49"/>
      <c r="O24" s="49"/>
      <c r="P24" s="49"/>
      <c r="Q24" s="49"/>
      <c r="R24" s="49"/>
      <c r="S24" s="49"/>
      <c r="T24" s="49"/>
      <c r="U24" s="49"/>
      <c r="V24" s="49"/>
      <c r="W24" s="49"/>
      <c r="X24" s="49"/>
      <c r="Y24" s="49"/>
      <c r="Z24" s="112"/>
      <c r="AA24" s="112"/>
      <c r="AB24" s="112"/>
      <c r="AC24" s="113"/>
      <c r="AD24" s="114"/>
      <c r="AE24" s="101"/>
      <c r="AF24" s="101"/>
      <c r="AG24" s="101"/>
      <c r="AH24" s="101"/>
      <c r="AI24" s="101"/>
      <c r="AJ24" s="101"/>
      <c r="AK24" s="101"/>
      <c r="AL24" s="101"/>
      <c r="AM24" s="101"/>
      <c r="AN24" s="101"/>
      <c r="AO24" s="101"/>
      <c r="AP24" s="101"/>
      <c r="AQ24" s="101"/>
      <c r="AR24" s="101"/>
      <c r="AS24" s="101"/>
      <c r="AT24" s="101"/>
      <c r="AU24" s="101"/>
      <c r="AV24" s="101"/>
      <c r="AW24" s="101"/>
      <c r="AX24" s="101"/>
      <c r="AY24" s="101"/>
      <c r="AZ24" s="101"/>
      <c r="BA24" s="101"/>
      <c r="BB24" s="101"/>
      <c r="BC24" s="101"/>
      <c r="BD24" s="101"/>
      <c r="BE24" s="101"/>
      <c r="BF24" s="101"/>
      <c r="BG24" s="101"/>
      <c r="BH24" s="101"/>
      <c r="BI24" s="101"/>
      <c r="BJ24" s="101"/>
      <c r="BK24" s="101"/>
      <c r="BL24" s="101"/>
    </row>
    <row r="25" spans="1:64" s="44" customFormat="1" ht="30" customHeight="1" thickBot="1" x14ac:dyDescent="0.25">
      <c r="A25" s="13"/>
      <c r="B25" s="69" t="s">
        <v>51</v>
      </c>
      <c r="C25" s="70" t="s">
        <v>20</v>
      </c>
      <c r="D25" s="71">
        <v>1</v>
      </c>
      <c r="E25" s="72">
        <f>E23+2</f>
        <v>45768</v>
      </c>
      <c r="F25" s="72">
        <f>E25+0</f>
        <v>45768</v>
      </c>
      <c r="G25" s="17"/>
      <c r="H25" s="5">
        <f t="shared" si="2"/>
        <v>1</v>
      </c>
      <c r="I25" s="49"/>
      <c r="J25" s="49"/>
      <c r="K25" s="49"/>
      <c r="L25" s="49"/>
      <c r="M25" s="49"/>
      <c r="N25" s="49"/>
      <c r="O25" s="49"/>
      <c r="P25" s="49"/>
      <c r="Q25" s="49"/>
      <c r="R25" s="49"/>
      <c r="S25" s="49"/>
      <c r="T25" s="49"/>
      <c r="U25" s="49"/>
      <c r="V25" s="49"/>
      <c r="W25" s="49"/>
      <c r="X25" s="49"/>
      <c r="Y25" s="49"/>
      <c r="Z25" s="112"/>
      <c r="AA25" s="112"/>
      <c r="AB25" s="112"/>
      <c r="AC25" s="113"/>
      <c r="AD25" s="114"/>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101"/>
      <c r="BE25" s="101"/>
      <c r="BF25" s="101"/>
      <c r="BG25" s="101"/>
      <c r="BH25" s="101"/>
      <c r="BI25" s="101"/>
      <c r="BJ25" s="101"/>
      <c r="BK25" s="101"/>
      <c r="BL25" s="101"/>
    </row>
    <row r="26" spans="1:64" s="44" customFormat="1" ht="30" customHeight="1" thickBot="1" x14ac:dyDescent="0.25">
      <c r="A26" s="13"/>
      <c r="B26" s="109" t="s">
        <v>35</v>
      </c>
      <c r="C26" s="73"/>
      <c r="D26" s="74"/>
      <c r="E26" s="75"/>
      <c r="F26" s="76"/>
      <c r="G26" s="17"/>
      <c r="H26" s="5" t="str">
        <f t="shared" si="2"/>
        <v/>
      </c>
      <c r="I26" s="77"/>
      <c r="J26" s="77"/>
      <c r="K26" s="77"/>
      <c r="L26" s="77"/>
      <c r="M26" s="77"/>
      <c r="N26" s="77"/>
      <c r="O26" s="77"/>
      <c r="P26" s="77"/>
      <c r="Q26" s="77"/>
      <c r="R26" s="77"/>
      <c r="S26" s="77"/>
      <c r="T26" s="77"/>
      <c r="U26" s="77"/>
      <c r="V26" s="77"/>
      <c r="W26" s="77"/>
      <c r="X26" s="77"/>
      <c r="Y26" s="77"/>
      <c r="Z26" s="117"/>
      <c r="AA26" s="117"/>
      <c r="AB26" s="117"/>
      <c r="AC26" s="117"/>
      <c r="AD26" s="114"/>
      <c r="AE26" s="101"/>
      <c r="AF26" s="101"/>
      <c r="AG26" s="101"/>
      <c r="AH26" s="101"/>
      <c r="AI26" s="101"/>
      <c r="AJ26" s="101"/>
      <c r="AK26" s="101"/>
      <c r="AL26" s="101"/>
      <c r="AM26" s="101"/>
      <c r="AN26" s="101"/>
      <c r="AO26" s="101"/>
      <c r="AP26" s="101"/>
      <c r="AQ26" s="101"/>
      <c r="AR26" s="101"/>
      <c r="AS26" s="101"/>
      <c r="AT26" s="101"/>
      <c r="AU26" s="101"/>
      <c r="AV26" s="101"/>
      <c r="AW26" s="101"/>
      <c r="AX26" s="101"/>
      <c r="AY26" s="101"/>
      <c r="AZ26" s="101"/>
      <c r="BA26" s="101"/>
      <c r="BB26" s="101"/>
      <c r="BC26" s="101"/>
      <c r="BD26" s="101"/>
      <c r="BE26" s="101"/>
      <c r="BF26" s="101"/>
      <c r="BG26" s="101"/>
      <c r="BH26" s="101"/>
      <c r="BI26" s="101"/>
      <c r="BJ26" s="101"/>
      <c r="BK26" s="101"/>
      <c r="BL26" s="101"/>
    </row>
    <row r="27" spans="1:64" s="44" customFormat="1" ht="30" customHeight="1" thickBot="1" x14ac:dyDescent="0.25">
      <c r="A27" s="13"/>
      <c r="B27" s="78" t="s">
        <v>52</v>
      </c>
      <c r="C27" s="79" t="s">
        <v>16</v>
      </c>
      <c r="D27" s="80">
        <v>1</v>
      </c>
      <c r="E27" s="81">
        <f>E21+6</f>
        <v>45768</v>
      </c>
      <c r="F27" s="81">
        <f>E27+0</f>
        <v>45768</v>
      </c>
      <c r="G27" s="17"/>
      <c r="H27" s="5">
        <f t="shared" si="2"/>
        <v>1</v>
      </c>
      <c r="I27" s="49"/>
      <c r="J27" s="49"/>
      <c r="K27" s="49"/>
      <c r="L27" s="49"/>
      <c r="M27" s="49"/>
      <c r="N27" s="49"/>
      <c r="O27" s="49"/>
      <c r="P27" s="49"/>
      <c r="Q27" s="49"/>
      <c r="R27" s="49"/>
      <c r="S27" s="49"/>
      <c r="T27" s="49"/>
      <c r="U27" s="49"/>
      <c r="V27" s="49"/>
      <c r="W27" s="49"/>
      <c r="X27" s="49"/>
      <c r="Y27" s="49"/>
      <c r="Z27" s="112"/>
      <c r="AA27" s="112"/>
      <c r="AB27" s="112"/>
      <c r="AC27" s="113"/>
      <c r="AD27" s="114"/>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row>
    <row r="28" spans="1:64" s="44" customFormat="1" ht="30" customHeight="1" thickBot="1" x14ac:dyDescent="0.25">
      <c r="A28" s="13"/>
      <c r="B28" s="78" t="s">
        <v>53</v>
      </c>
      <c r="C28" s="79" t="s">
        <v>17</v>
      </c>
      <c r="D28" s="80">
        <v>1</v>
      </c>
      <c r="E28" s="81">
        <f>F27</f>
        <v>45768</v>
      </c>
      <c r="F28" s="81">
        <f>E28+0</f>
        <v>45768</v>
      </c>
      <c r="G28" s="17"/>
      <c r="H28" s="5">
        <f t="shared" si="2"/>
        <v>1</v>
      </c>
      <c r="I28" s="49"/>
      <c r="J28" s="49"/>
      <c r="K28" s="49"/>
      <c r="L28" s="49"/>
      <c r="M28" s="49"/>
      <c r="N28" s="49"/>
      <c r="O28" s="49"/>
      <c r="P28" s="49"/>
      <c r="Q28" s="49"/>
      <c r="R28" s="49"/>
      <c r="S28" s="49"/>
      <c r="T28" s="49"/>
      <c r="U28" s="49"/>
      <c r="V28" s="49"/>
      <c r="W28" s="49"/>
      <c r="X28" s="49"/>
      <c r="Y28" s="49"/>
      <c r="Z28" s="112"/>
      <c r="AA28" s="112"/>
      <c r="AB28" s="112"/>
      <c r="AC28" s="113"/>
      <c r="AD28" s="114"/>
      <c r="AE28" s="101"/>
      <c r="AF28" s="101"/>
      <c r="AG28" s="101"/>
      <c r="AH28" s="101"/>
      <c r="AI28" s="101"/>
      <c r="AJ28" s="101"/>
      <c r="AK28" s="101"/>
      <c r="AL28" s="101"/>
      <c r="AM28" s="101"/>
      <c r="AN28" s="101"/>
      <c r="AO28" s="101"/>
      <c r="AP28" s="101"/>
      <c r="AQ28" s="101"/>
      <c r="AR28" s="101"/>
      <c r="AS28" s="101"/>
      <c r="AT28" s="101"/>
      <c r="AU28" s="101"/>
      <c r="AV28" s="101"/>
      <c r="AW28" s="101"/>
      <c r="AX28" s="101"/>
      <c r="AY28" s="101"/>
      <c r="AZ28" s="101"/>
      <c r="BA28" s="101"/>
      <c r="BB28" s="101"/>
      <c r="BC28" s="101"/>
      <c r="BD28" s="101"/>
      <c r="BE28" s="101"/>
      <c r="BF28" s="101"/>
      <c r="BG28" s="101"/>
      <c r="BH28" s="101"/>
      <c r="BI28" s="101"/>
      <c r="BJ28" s="101"/>
      <c r="BK28" s="101"/>
      <c r="BL28" s="101"/>
    </row>
    <row r="29" spans="1:64" s="44" customFormat="1" ht="30" customHeight="1" thickBot="1" x14ac:dyDescent="0.25">
      <c r="A29" s="13"/>
      <c r="B29" s="78" t="s">
        <v>54</v>
      </c>
      <c r="C29" s="79" t="s">
        <v>18</v>
      </c>
      <c r="D29" s="80">
        <v>1</v>
      </c>
      <c r="E29" s="81">
        <f>F28+1</f>
        <v>45769</v>
      </c>
      <c r="F29" s="81">
        <f>E29+1</f>
        <v>45770</v>
      </c>
      <c r="G29" s="17"/>
      <c r="H29" s="5">
        <f t="shared" si="2"/>
        <v>2</v>
      </c>
      <c r="I29" s="49"/>
      <c r="J29" s="49"/>
      <c r="K29" s="49"/>
      <c r="L29" s="49"/>
      <c r="M29" s="49"/>
      <c r="N29" s="49"/>
      <c r="O29" s="49"/>
      <c r="P29" s="49"/>
      <c r="Q29" s="49"/>
      <c r="R29" s="49"/>
      <c r="S29" s="49"/>
      <c r="T29" s="49"/>
      <c r="U29" s="49"/>
      <c r="V29" s="49"/>
      <c r="W29" s="49"/>
      <c r="X29" s="49"/>
      <c r="Y29" s="49"/>
      <c r="Z29" s="112"/>
      <c r="AA29" s="112"/>
      <c r="AB29" s="112"/>
      <c r="AC29" s="113"/>
      <c r="AD29" s="114"/>
      <c r="AE29" s="101"/>
      <c r="AF29" s="101"/>
      <c r="AG29" s="101"/>
      <c r="AH29" s="101"/>
      <c r="AI29" s="101"/>
      <c r="AJ29" s="101"/>
      <c r="AK29" s="101"/>
      <c r="AL29" s="101"/>
      <c r="AM29" s="101"/>
      <c r="AN29" s="101"/>
      <c r="AO29" s="101"/>
      <c r="AP29" s="101"/>
      <c r="AQ29" s="101"/>
      <c r="AR29" s="101"/>
      <c r="AS29" s="101"/>
      <c r="AT29" s="101"/>
      <c r="AU29" s="101"/>
      <c r="AV29" s="101"/>
      <c r="AW29" s="101"/>
      <c r="AX29" s="101"/>
      <c r="AY29" s="101"/>
      <c r="AZ29" s="101"/>
      <c r="BA29" s="101"/>
      <c r="BB29" s="101"/>
      <c r="BC29" s="101"/>
      <c r="BD29" s="101"/>
      <c r="BE29" s="101"/>
      <c r="BF29" s="101"/>
      <c r="BG29" s="101"/>
      <c r="BH29" s="101"/>
      <c r="BI29" s="101"/>
      <c r="BJ29" s="101"/>
      <c r="BK29" s="101"/>
      <c r="BL29" s="101"/>
    </row>
    <row r="30" spans="1:64" s="44" customFormat="1" ht="30" customHeight="1" thickBot="1" x14ac:dyDescent="0.25">
      <c r="A30" s="13"/>
      <c r="B30" s="78" t="s">
        <v>55</v>
      </c>
      <c r="C30" s="79" t="s">
        <v>19</v>
      </c>
      <c r="D30" s="80">
        <v>1</v>
      </c>
      <c r="E30" s="81">
        <f>E27+2</f>
        <v>45770</v>
      </c>
      <c r="F30" s="81">
        <f>E30+0</f>
        <v>45770</v>
      </c>
      <c r="G30" s="17"/>
      <c r="H30" s="5">
        <f t="shared" si="2"/>
        <v>1</v>
      </c>
      <c r="I30" s="49"/>
      <c r="J30" s="49"/>
      <c r="K30" s="49"/>
      <c r="L30" s="49"/>
      <c r="M30" s="49"/>
      <c r="N30" s="49"/>
      <c r="O30" s="49"/>
      <c r="P30" s="49"/>
      <c r="Q30" s="49"/>
      <c r="R30" s="49"/>
      <c r="S30" s="49"/>
      <c r="T30" s="49"/>
      <c r="U30" s="49"/>
      <c r="V30" s="49"/>
      <c r="W30" s="49"/>
      <c r="X30" s="49"/>
      <c r="Y30" s="49"/>
      <c r="Z30" s="112"/>
      <c r="AA30" s="112"/>
      <c r="AB30" s="112"/>
      <c r="AC30" s="113"/>
      <c r="AD30" s="114"/>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row>
    <row r="31" spans="1:64" s="44" customFormat="1" ht="30" customHeight="1" thickBot="1" x14ac:dyDescent="0.25">
      <c r="A31" s="13"/>
      <c r="B31" s="78" t="s">
        <v>56</v>
      </c>
      <c r="C31" s="79" t="s">
        <v>20</v>
      </c>
      <c r="D31" s="80">
        <v>1</v>
      </c>
      <c r="E31" s="81">
        <f>E27+2</f>
        <v>45770</v>
      </c>
      <c r="F31" s="81">
        <f>E31+0</f>
        <v>45770</v>
      </c>
      <c r="G31" s="17"/>
      <c r="H31" s="5">
        <f t="shared" si="2"/>
        <v>1</v>
      </c>
      <c r="I31" s="49"/>
      <c r="J31" s="49"/>
      <c r="K31" s="49"/>
      <c r="L31" s="49"/>
      <c r="M31" s="49"/>
      <c r="N31" s="49"/>
      <c r="O31" s="49"/>
      <c r="P31" s="49"/>
      <c r="Q31" s="49"/>
      <c r="R31" s="49"/>
      <c r="S31" s="49"/>
      <c r="T31" s="49"/>
      <c r="U31" s="49"/>
      <c r="V31" s="49"/>
      <c r="W31" s="49"/>
      <c r="X31" s="49"/>
      <c r="Y31" s="49"/>
      <c r="Z31" s="112"/>
      <c r="AA31" s="112"/>
      <c r="AB31" s="112"/>
      <c r="AC31" s="113"/>
      <c r="AD31" s="114"/>
      <c r="AE31" s="101"/>
      <c r="AF31" s="101"/>
      <c r="AG31" s="101"/>
      <c r="AH31" s="101"/>
      <c r="AI31" s="101"/>
      <c r="AJ31" s="101"/>
      <c r="AK31" s="101"/>
      <c r="AL31" s="101"/>
      <c r="AM31" s="101"/>
      <c r="AN31" s="101"/>
      <c r="AO31" s="101"/>
      <c r="AP31" s="101"/>
      <c r="AQ31" s="101"/>
      <c r="AR31" s="101"/>
      <c r="AS31" s="101"/>
      <c r="AT31" s="101"/>
      <c r="AU31" s="101"/>
      <c r="AV31" s="101"/>
      <c r="AW31" s="101"/>
      <c r="AX31" s="101"/>
      <c r="AY31" s="101"/>
      <c r="AZ31" s="101"/>
      <c r="BA31" s="101"/>
      <c r="BB31" s="101"/>
      <c r="BC31" s="101"/>
      <c r="BD31" s="101"/>
      <c r="BE31" s="101"/>
      <c r="BF31" s="101"/>
      <c r="BG31" s="101"/>
      <c r="BH31" s="101"/>
      <c r="BI31" s="101"/>
      <c r="BJ31" s="101"/>
      <c r="BK31" s="101"/>
      <c r="BL31" s="101"/>
    </row>
    <row r="32" spans="1:64" s="44" customFormat="1" ht="30" customHeight="1" thickBot="1" x14ac:dyDescent="0.25">
      <c r="A32" s="13"/>
      <c r="B32" s="82"/>
      <c r="C32" s="83"/>
      <c r="D32" s="84"/>
      <c r="E32" s="85"/>
      <c r="F32" s="85"/>
      <c r="G32" s="17"/>
      <c r="H32" s="5" t="str">
        <f t="shared" si="2"/>
        <v/>
      </c>
      <c r="I32" s="43"/>
      <c r="J32" s="43"/>
      <c r="K32" s="43"/>
      <c r="L32" s="43"/>
      <c r="M32" s="43"/>
      <c r="N32" s="43"/>
      <c r="O32" s="43"/>
      <c r="P32" s="43"/>
      <c r="Q32" s="43"/>
      <c r="R32" s="43"/>
      <c r="S32" s="43"/>
      <c r="T32" s="43"/>
      <c r="U32" s="43"/>
      <c r="V32" s="43"/>
      <c r="W32" s="43"/>
      <c r="X32" s="43"/>
      <c r="Y32" s="43"/>
      <c r="Z32" s="43"/>
      <c r="AA32" s="43"/>
      <c r="AB32" s="43"/>
      <c r="AC32" s="43"/>
      <c r="AD32" s="101"/>
      <c r="AE32" s="101"/>
      <c r="AF32" s="101"/>
      <c r="AG32" s="101"/>
      <c r="AH32" s="101"/>
      <c r="AI32" s="101"/>
      <c r="AJ32" s="101"/>
      <c r="AK32" s="101"/>
      <c r="AL32" s="101"/>
      <c r="AM32" s="101"/>
      <c r="AN32" s="101"/>
      <c r="AO32" s="101"/>
      <c r="AP32" s="101"/>
      <c r="AQ32" s="101"/>
      <c r="AR32" s="101"/>
      <c r="AS32" s="101"/>
      <c r="AT32" s="101"/>
      <c r="AU32" s="101"/>
      <c r="AV32" s="101"/>
      <c r="AW32" s="101"/>
      <c r="AX32" s="101"/>
      <c r="AY32" s="101"/>
      <c r="AZ32" s="101"/>
      <c r="BA32" s="101"/>
      <c r="BB32" s="101"/>
      <c r="BC32" s="101"/>
      <c r="BD32" s="101"/>
      <c r="BE32" s="101"/>
      <c r="BF32" s="101"/>
      <c r="BG32" s="101"/>
      <c r="BH32" s="101"/>
      <c r="BI32" s="101"/>
      <c r="BJ32" s="101"/>
      <c r="BK32" s="101"/>
      <c r="BL32" s="101"/>
    </row>
    <row r="33" spans="1:64" s="44" customFormat="1" ht="30" customHeight="1" thickBot="1" x14ac:dyDescent="0.25">
      <c r="A33" s="14"/>
      <c r="B33" s="86" t="s">
        <v>0</v>
      </c>
      <c r="C33" s="87"/>
      <c r="D33" s="88"/>
      <c r="E33" s="89"/>
      <c r="F33" s="90"/>
      <c r="G33" s="17"/>
      <c r="H33" s="6" t="str">
        <f t="shared" si="2"/>
        <v/>
      </c>
      <c r="I33" s="91"/>
      <c r="J33" s="91"/>
      <c r="K33" s="91"/>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91"/>
      <c r="BB33" s="91"/>
      <c r="BC33" s="91"/>
      <c r="BD33" s="91"/>
      <c r="BE33" s="91"/>
      <c r="BF33" s="91"/>
      <c r="BG33" s="91"/>
      <c r="BH33" s="91"/>
      <c r="BI33" s="91"/>
      <c r="BJ33" s="91"/>
      <c r="BK33" s="91"/>
      <c r="BL33" s="91"/>
    </row>
    <row r="34" spans="1:64" ht="30" customHeight="1" x14ac:dyDescent="0.2">
      <c r="G34" s="3"/>
    </row>
    <row r="35" spans="1:64" ht="30" customHeight="1" x14ac:dyDescent="0.25">
      <c r="C35" s="16"/>
      <c r="F35" s="15"/>
    </row>
    <row r="36" spans="1:64" ht="30" customHeight="1" x14ac:dyDescent="0.2">
      <c r="C36" s="4"/>
    </row>
  </sheetData>
  <mergeCells count="13">
    <mergeCell ref="Q1:Z1"/>
    <mergeCell ref="I1:O1"/>
    <mergeCell ref="I2:O2"/>
    <mergeCell ref="A5:A6"/>
    <mergeCell ref="B5:B6"/>
    <mergeCell ref="C5:C6"/>
    <mergeCell ref="D5:D6"/>
    <mergeCell ref="E5:E6"/>
    <mergeCell ref="I4:O4"/>
    <mergeCell ref="P4:V4"/>
    <mergeCell ref="W4:AC4"/>
    <mergeCell ref="F5:F6"/>
    <mergeCell ref="Q2:Z2"/>
  </mergeCells>
  <phoneticPr fontId="29" type="noConversion"/>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3">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5:BL19">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1:BL25">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7:BL31">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31 I21:BL25 I15:BL19 I9:BL13 I27:BL31">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dataValidation allowBlank="1" showInputMessage="1" showErrorMessage="1" prompt="Enter Company name in cel B2." sqref="A2"/>
    <dataValidation allowBlank="1" showInputMessage="1" showErrorMessage="1" prompt="Enter the name of the Project Lead in cell C3. Enter the Project Start date in cell Q1. Project Start: label is in cell I1." sqref="A3"/>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dataValidation allowBlank="1" showInputMessage="1" showErrorMessage="1" prompt="Cell B8 contains the Phase 1 sample title. Enter a new title in cell B8._x000a_To delete the phase and work only from tasks, simply delete this row." sqref="A8"/>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dataValidation allowBlank="1" showInputMessage="1" showErrorMessage="1" prompt="Phase 3's sample block starts in cell B20." sqref="A20"/>
    <dataValidation allowBlank="1" showInputMessage="1" showErrorMessage="1" prompt="Phase 4's sample block starts in cell B26." sqref="A26"/>
    <dataValidation allowBlank="1" showInputMessage="1" showErrorMessage="1" prompt="This row marks the end of the Project Schedule. DO NOT enter anything in this row. _x000a_Insert new rows ABOVE this one to continue building out your Project Schedule." sqref="A33"/>
  </dataValidations>
  <hyperlinks>
    <hyperlink ref="B4" r:id="rId1"/>
    <hyperlink ref="B3" r:id="rId2" display="SIMPLE GANTT CHART by Vertex42.com"/>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showGridLines="0" topLeftCell="A7"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3" t="s">
        <v>4</v>
      </c>
      <c r="B2" s="8"/>
    </row>
    <row r="3" spans="1:2" s="11" customFormat="1" ht="27" customHeight="1" x14ac:dyDescent="0.2">
      <c r="A3" s="94"/>
      <c r="B3" s="12"/>
    </row>
    <row r="4" spans="1:2" s="10" customFormat="1" ht="31.5" x14ac:dyDescent="0.6">
      <c r="A4" s="95" t="s">
        <v>3</v>
      </c>
    </row>
    <row r="5" spans="1:2" ht="74.25" customHeight="1" x14ac:dyDescent="0.2">
      <c r="A5" s="96" t="s">
        <v>11</v>
      </c>
    </row>
    <row r="6" spans="1:2" ht="26.25" customHeight="1" x14ac:dyDescent="0.2">
      <c r="A6" s="95" t="s">
        <v>14</v>
      </c>
    </row>
    <row r="7" spans="1:2" s="7" customFormat="1" ht="205.15" customHeight="1" x14ac:dyDescent="0.2">
      <c r="A7" s="97" t="s">
        <v>13</v>
      </c>
    </row>
    <row r="8" spans="1:2" s="10" customFormat="1" ht="31.5" x14ac:dyDescent="0.6">
      <c r="A8" s="95" t="s">
        <v>5</v>
      </c>
    </row>
    <row r="9" spans="1:2" ht="42.75" x14ac:dyDescent="0.2">
      <c r="A9" s="96" t="s">
        <v>12</v>
      </c>
    </row>
    <row r="10" spans="1:2" s="7" customFormat="1" ht="28.15" customHeight="1" x14ac:dyDescent="0.2">
      <c r="A10" s="98" t="s">
        <v>10</v>
      </c>
    </row>
    <row r="11" spans="1:2" s="10" customFormat="1" ht="31.5" x14ac:dyDescent="0.6">
      <c r="A11" s="95" t="s">
        <v>2</v>
      </c>
    </row>
    <row r="12" spans="1:2" ht="28.5" x14ac:dyDescent="0.2">
      <c r="A12" s="96" t="s">
        <v>9</v>
      </c>
    </row>
    <row r="13" spans="1:2" s="7" customFormat="1" ht="28.15" customHeight="1" x14ac:dyDescent="0.2">
      <c r="A13" s="98" t="s">
        <v>1</v>
      </c>
    </row>
    <row r="14" spans="1:2" s="10" customFormat="1" ht="31.5" x14ac:dyDescent="0.6">
      <c r="A14" s="95" t="s">
        <v>6</v>
      </c>
    </row>
    <row r="15" spans="1:2" ht="75" customHeight="1" x14ac:dyDescent="0.2">
      <c r="A15" s="96" t="s">
        <v>7</v>
      </c>
    </row>
    <row r="16" spans="1:2" ht="71.25" x14ac:dyDescent="0.2">
      <c r="A16" s="96" t="s">
        <v>8</v>
      </c>
    </row>
    <row r="17" spans="1:1" x14ac:dyDescent="0.2">
      <c r="A17" s="99"/>
    </row>
    <row r="18" spans="1:1" x14ac:dyDescent="0.2">
      <c r="A18" s="99"/>
    </row>
    <row r="19" spans="1:1" x14ac:dyDescent="0.2">
      <c r="A19" s="99"/>
    </row>
    <row r="20" spans="1:1" x14ac:dyDescent="0.2">
      <c r="A20" s="99"/>
    </row>
    <row r="21" spans="1:1" x14ac:dyDescent="0.2">
      <c r="A21" s="99"/>
    </row>
    <row r="22" spans="1:1" x14ac:dyDescent="0.2">
      <c r="A22" s="99"/>
    </row>
    <row r="23" spans="1:1" x14ac:dyDescent="0.2">
      <c r="A23" s="99"/>
    </row>
    <row r="24" spans="1:1" x14ac:dyDescent="0.2">
      <c r="A24" s="99"/>
    </row>
  </sheetData>
  <phoneticPr fontId="29" type="noConversion"/>
  <hyperlinks>
    <hyperlink ref="A13" r:id="rId1"/>
    <hyperlink ref="A10" r:id="rId2"/>
    <hyperlink ref="A2" r:id="rId3"/>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71af3243-3dd4-4a8d-8c0d-dd76da1f02a5"/>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http://www.w3.org/XML/1998/namespace"/>
    <ds:schemaRef ds:uri="http://purl.org/dc/dcmitype/"/>
    <ds:schemaRef ds:uri="230e9df3-be65-4c73-a93b-d1236ebd677e"/>
    <ds:schemaRef ds:uri="16c05727-aa75-4e4a-9b5f-8a80a1165891"/>
    <ds:schemaRef ds:uri="http://schemas.microsoft.com/sharepoint/v3"/>
    <ds:schemaRef ds:uri="http://schemas.microsoft.com/office/2006/metadata/propertie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human</dc:creator>
  <dc:description/>
  <cp:lastModifiedBy>human</cp:lastModifiedBy>
  <dcterms:created xsi:type="dcterms:W3CDTF">2022-03-11T22:41:12Z</dcterms:created>
  <dcterms:modified xsi:type="dcterms:W3CDTF">2025-04-23T00:14:22Z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